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M_ages" sheetId="2" state="visible" r:id="rId4"/>
    <sheet name="Blanchon2017_F" sheetId="3" state="visible" r:id="rId5"/>
    <sheet name="SC_Hubbard" sheetId="4" state="visible" r:id="rId6"/>
    <sheet name="BZ_Gischler" sheetId="5" state="visible" r:id="rId7"/>
    <sheet name="FL_Toth" sheetId="6" state="visible" r:id="rId8"/>
    <sheet name="Master_log" sheetId="7" state="visible" r:id="rId9"/>
    <sheet name="Change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Año de separación química usado en la conversión. SURF y M/MR/MA = 2021 (confirmado por el autor, 2026-10-02; el master log dice 2023 para M/MR/MA). F = 1950: Blanchon et al. 2017 ya reporta las edades en años BP (autor, 2026-10-02); núcleos colectados en 2006, fechados entre 2006 y 2017.</t>
        </r>
      </text>
    </comment>
    <comment ref="P1" authorId="0">
      <text>
        <r>
          <rPr>
            <sz val="10"/>
            <rFont val="Arial"/>
            <family val="2"/>
          </rPr>
          <t xml:space="preserve">±2SE (master log: "corrected age" ±; Blanchon 2017: ± de la tabla).</t>
        </r>
      </text>
    </comment>
    <comment ref="T1" authorId="0">
      <text>
        <r>
          <rPr>
            <sz val="10"/>
            <rFont val="Arial"/>
            <family val="2"/>
          </rPr>
          <t xml:space="preserve">Las edades posteriores a 1950 (t_BP&lt;0) se asignan al bin 0–0.1 ka (decisión del autor, 2026-10-02).</t>
        </r>
      </text>
    </comment>
  </commentList>
</comments>
</file>

<file path=xl/sharedStrings.xml><?xml version="1.0" encoding="utf-8"?>
<sst xmlns="http://schemas.openxmlformats.org/spreadsheetml/2006/main" count="8199" uniqueCount="895">
  <si>
    <t xml:space="preserve">Auditoría de edades de coral — M3 (Paleoclimatic drivers of A. palmata)</t>
  </si>
  <si>
    <t xml:space="preserve">Creado 2026-10-02. Convención objetivo: ka BP (BP = 1950 CE).</t>
  </si>
  <si>
    <t xml:space="preserve">Conversión U-Th: t_BP (ka) = t_publicada (ka) − (año_separación − 1950)/1000. Las edades U-Th publicadas están referidas al año de separación química, no a 1950.</t>
  </si>
  <si>
    <t xml:space="preserve">Bin (límite superior, 0.1 ka): ROUNDUP(t·10)/10, igual que en el qmd (intervalos (t−0.1, t]).</t>
  </si>
  <si>
    <t xml:space="preserve">Celdas editables: texto azul con fondo amarillo = valores de entrada (año de separación, decisiones). El resto son datos de fuente o fórmulas.</t>
  </si>
  <si>
    <t xml:space="preserve">Fuentes:</t>
  </si>
  <si>
    <t xml:space="preserve"> • PM_ages: base actual ages_kernel_reg_updt.xlsx (repo Paleoclimatic-drivers), filtrada a Punta Maroma (91 filas, todas las especies).</t>
  </si>
  <si>
    <t xml:space="preserve"> • Master log de laboratorio: "ages master log.xlsx", repo GitHub AlexisMedina2019/acroporid-centennial-gap-analysis (commit 62c2d06).</t>
  </si>
  <si>
    <t xml:space="preserve"> • Serie F: Blanchon et al. (2017), tabla de edades U-Th, transcrita por el autor (hoja Blanchon2017_F).</t>
  </si>
  <si>
    <t xml:space="preserve"> • Saint Croix: Hubbard et al. 2005; 2013, tal como está en la base (hoja SC_Hubbard); método y calibración por confirmar.</t>
  </si>
  <si>
    <t xml:space="preserve"> • FL_Toth: edades recalibradas por L. Toth (Marine20), depuradas de duplicados (hoja FL_Toth).</t>
  </si>
  <si>
    <t xml:space="preserve"> • Master_log: tabla unificada de los cuatro sitios usada en los análisis M3 (master_ages_M3.csv).</t>
  </si>
  <si>
    <t xml:space="preserve">Decisiones registradas en la hoja Changelog.</t>
  </si>
  <si>
    <t xml:space="preserve">ID</t>
  </si>
  <si>
    <t xml:space="preserve">sample_site (base)</t>
  </si>
  <si>
    <t xml:space="preserve">sample_site (fuente)</t>
  </si>
  <si>
    <t xml:space="preserve">species_2</t>
  </si>
  <si>
    <t xml:space="preserve">group</t>
  </si>
  <si>
    <t xml:space="preserve">PIT</t>
  </si>
  <si>
    <t xml:space="preserve">depth_m</t>
  </si>
  <si>
    <t xml:space="preserve">lon</t>
  </si>
  <si>
    <t xml:space="preserve">lat</t>
  </si>
  <si>
    <t xml:space="preserve">species_log</t>
  </si>
  <si>
    <t xml:space="preserve">sample_type</t>
  </si>
  <si>
    <t xml:space="preserve">age_source</t>
  </si>
  <si>
    <t xml:space="preserve">sep_year_log</t>
  </si>
  <si>
    <t xml:space="preserve">sep_year_used</t>
  </si>
  <si>
    <t xml:space="preserve">t_pub_ka</t>
  </si>
  <si>
    <t xml:space="preserve">err_2SE_ka</t>
  </si>
  <si>
    <t xml:space="preserve">d234U0</t>
  </si>
  <si>
    <t xml:space="preserve">t_BP_ka</t>
  </si>
  <si>
    <t xml:space="preserve">bin_old</t>
  </si>
  <si>
    <t xml:space="preserve">bin_BP</t>
  </si>
  <si>
    <t xml:space="preserve">bin_changed</t>
  </si>
  <si>
    <t xml:space="preserve">post_1950</t>
  </si>
  <si>
    <t xml:space="preserve">replicate_name</t>
  </si>
  <si>
    <t xml:space="preserve">flags</t>
  </si>
  <si>
    <t xml:space="preserve">SURF7(a)</t>
  </si>
  <si>
    <t xml:space="preserve">BRAN</t>
  </si>
  <si>
    <t xml:space="preserve">palmata</t>
  </si>
  <si>
    <t xml:space="preserve">SURF7</t>
  </si>
  <si>
    <t xml:space="preserve">APAL</t>
  </si>
  <si>
    <t xml:space="preserve">master log (Medina-Valmaseda et al. 2025)</t>
  </si>
  <si>
    <t xml:space="preserve">no</t>
  </si>
  <si>
    <t xml:space="preserve">SURF2(c)</t>
  </si>
  <si>
    <t xml:space="preserve">SURF2</t>
  </si>
  <si>
    <t xml:space="preserve">SURF21(a)</t>
  </si>
  <si>
    <t xml:space="preserve">MASS</t>
  </si>
  <si>
    <t xml:space="preserve">Other Species</t>
  </si>
  <si>
    <t xml:space="preserve">SURF21</t>
  </si>
  <si>
    <t xml:space="preserve">OFAV</t>
  </si>
  <si>
    <t xml:space="preserve">SURF2(d)</t>
  </si>
  <si>
    <t xml:space="preserve">SURF X</t>
  </si>
  <si>
    <t xml:space="preserve">SURF</t>
  </si>
  <si>
    <t xml:space="preserve">SURF2(a)</t>
  </si>
  <si>
    <t xml:space="preserve">SURF10(a)</t>
  </si>
  <si>
    <t xml:space="preserve">SURF10</t>
  </si>
  <si>
    <t xml:space="preserve">MR8(a)</t>
  </si>
  <si>
    <t xml:space="preserve">MR8</t>
  </si>
  <si>
    <t xml:space="preserve">log dice 2023; autor confirma 2021 (Table S1 Figshare)</t>
  </si>
  <si>
    <t xml:space="preserve">SURF24(b)</t>
  </si>
  <si>
    <t xml:space="preserve">SURF24</t>
  </si>
  <si>
    <t xml:space="preserve">MR9(b)</t>
  </si>
  <si>
    <t xml:space="preserve">MR9</t>
  </si>
  <si>
    <t xml:space="preserve">SURF3(b)</t>
  </si>
  <si>
    <t xml:space="preserve">SURF3</t>
  </si>
  <si>
    <t xml:space="preserve">SURF2(e)</t>
  </si>
  <si>
    <t xml:space="preserve">MR9(a)</t>
  </si>
  <si>
    <t xml:space="preserve">M1(b)</t>
  </si>
  <si>
    <t xml:space="preserve">M1</t>
  </si>
  <si>
    <t xml:space="preserve">NoID</t>
  </si>
  <si>
    <t xml:space="preserve">yes</t>
  </si>
  <si>
    <t xml:space="preserve">log dice 2023; autor confirma 2021 (Table S1 Figshare); submuestra de la misma muestra: se conservan ambas (decisión del autor)</t>
  </si>
  <si>
    <t xml:space="preserve">MR11(c)</t>
  </si>
  <si>
    <t xml:space="preserve">MR11</t>
  </si>
  <si>
    <t xml:space="preserve">ACER</t>
  </si>
  <si>
    <t xml:space="preserve">SURF2(b)</t>
  </si>
  <si>
    <t xml:space="preserve">M1(a)</t>
  </si>
  <si>
    <t xml:space="preserve">SURF18(c)</t>
  </si>
  <si>
    <t xml:space="preserve">SURF18</t>
  </si>
  <si>
    <t xml:space="preserve">SURF18(b)</t>
  </si>
  <si>
    <t xml:space="preserve">M11(b)</t>
  </si>
  <si>
    <t xml:space="preserve">MR11(b)</t>
  </si>
  <si>
    <t xml:space="preserve">M11</t>
  </si>
  <si>
    <t xml:space="preserve">PSTR</t>
  </si>
  <si>
    <t xml:space="preserve">nombre en base "M11(b)" ≠ log "MR11(b)" (identificado por edad); log dice 2023; autor confirma 2021 (Table S1 Figshare)</t>
  </si>
  <si>
    <t xml:space="preserve">SURF7(b)</t>
  </si>
  <si>
    <t xml:space="preserve">SURF12(d)</t>
  </si>
  <si>
    <t xml:space="preserve">SURF12</t>
  </si>
  <si>
    <t xml:space="preserve">DCIL</t>
  </si>
  <si>
    <t xml:space="preserve">SURF4</t>
  </si>
  <si>
    <t xml:space="preserve">MR4(a)</t>
  </si>
  <si>
    <t xml:space="preserve">MR4</t>
  </si>
  <si>
    <t xml:space="preserve">SSID</t>
  </si>
  <si>
    <t xml:space="preserve">SURF23(b)</t>
  </si>
  <si>
    <t xml:space="preserve">SURF23</t>
  </si>
  <si>
    <t xml:space="preserve">SURF14(c)</t>
  </si>
  <si>
    <t xml:space="preserve">SURF14</t>
  </si>
  <si>
    <t xml:space="preserve">MR13.5</t>
  </si>
  <si>
    <t xml:space="preserve">MR13</t>
  </si>
  <si>
    <t xml:space="preserve">MA5(a)</t>
  </si>
  <si>
    <t xml:space="preserve">MA5</t>
  </si>
  <si>
    <t xml:space="preserve">MR6(b)</t>
  </si>
  <si>
    <t xml:space="preserve">MR6</t>
  </si>
  <si>
    <t xml:space="preserve">MR1(b)</t>
  </si>
  <si>
    <t xml:space="preserve">MR1</t>
  </si>
  <si>
    <t xml:space="preserve">SURF12(e)</t>
  </si>
  <si>
    <t xml:space="preserve">SURF24(a)</t>
  </si>
  <si>
    <t xml:space="preserve">SURF3(a)</t>
  </si>
  <si>
    <t xml:space="preserve">SURF10(e)</t>
  </si>
  <si>
    <t xml:space="preserve">SURF3(e)</t>
  </si>
  <si>
    <t xml:space="preserve">nombre en base "SURF10(e)" ≠ log "SURF3(e)" (identificado por edad)</t>
  </si>
  <si>
    <t xml:space="preserve">SURF10(b)</t>
  </si>
  <si>
    <t xml:space="preserve">SURF3(c)</t>
  </si>
  <si>
    <t xml:space="preserve">SURF1(b)</t>
  </si>
  <si>
    <t xml:space="preserve">SURF1</t>
  </si>
  <si>
    <t xml:space="preserve">M6</t>
  </si>
  <si>
    <t xml:space="preserve">F3-1</t>
  </si>
  <si>
    <t xml:space="preserve">F3</t>
  </si>
  <si>
    <t xml:space="preserve">clast</t>
  </si>
  <si>
    <t xml:space="preserve">Blanchon et al. 2017</t>
  </si>
  <si>
    <t xml:space="preserve">Blanchon 2017 reporta edades U-Th en años BP (1950): sin conversión (sep_year_used = 1950); clasto (no in situ)</t>
  </si>
  <si>
    <t xml:space="preserve">MA1</t>
  </si>
  <si>
    <t xml:space="preserve">MR4(c)</t>
  </si>
  <si>
    <t xml:space="preserve">SURF1(e)</t>
  </si>
  <si>
    <t xml:space="preserve">SURF1(d)</t>
  </si>
  <si>
    <t xml:space="preserve">SURF17(a)</t>
  </si>
  <si>
    <t xml:space="preserve">SURF17</t>
  </si>
  <si>
    <t xml:space="preserve">M2(a)</t>
  </si>
  <si>
    <t xml:space="preserve">M2</t>
  </si>
  <si>
    <t xml:space="preserve">SURF1(a)</t>
  </si>
  <si>
    <t xml:space="preserve">SURF17(b)</t>
  </si>
  <si>
    <t xml:space="preserve">F12-1</t>
  </si>
  <si>
    <t xml:space="preserve">F12</t>
  </si>
  <si>
    <t xml:space="preserve">M9(b)</t>
  </si>
  <si>
    <t xml:space="preserve">M9</t>
  </si>
  <si>
    <t xml:space="preserve">SURF5(b)</t>
  </si>
  <si>
    <t xml:space="preserve">SURF5</t>
  </si>
  <si>
    <t xml:space="preserve">SURF12(c)</t>
  </si>
  <si>
    <t xml:space="preserve">SURF22(a)</t>
  </si>
  <si>
    <t xml:space="preserve">SURF22</t>
  </si>
  <si>
    <t xml:space="preserve">PAST</t>
  </si>
  <si>
    <t xml:space="preserve">MA3</t>
  </si>
  <si>
    <t xml:space="preserve">F10-1</t>
  </si>
  <si>
    <t xml:space="preserve">F10</t>
  </si>
  <si>
    <t xml:space="preserve">MR5</t>
  </si>
  <si>
    <t xml:space="preserve">MR3(a)</t>
  </si>
  <si>
    <t xml:space="preserve">MR3</t>
  </si>
  <si>
    <t xml:space="preserve">MR1(c)</t>
  </si>
  <si>
    <t xml:space="preserve">SURF22(e)</t>
  </si>
  <si>
    <t xml:space="preserve">MR7(a)</t>
  </si>
  <si>
    <t xml:space="preserve">MR7</t>
  </si>
  <si>
    <t xml:space="preserve">SURF9(b)</t>
  </si>
  <si>
    <t xml:space="preserve">SURF9</t>
  </si>
  <si>
    <t xml:space="preserve">SURF9(a)</t>
  </si>
  <si>
    <t xml:space="preserve">MR13.4</t>
  </si>
  <si>
    <t xml:space="preserve">M5(b)</t>
  </si>
  <si>
    <t xml:space="preserve">M5</t>
  </si>
  <si>
    <t xml:space="preserve">M3(b)</t>
  </si>
  <si>
    <t xml:space="preserve">M3</t>
  </si>
  <si>
    <t xml:space="preserve">MR10</t>
  </si>
  <si>
    <t xml:space="preserve">SURF8(a)</t>
  </si>
  <si>
    <t xml:space="preserve">SURF8</t>
  </si>
  <si>
    <t xml:space="preserve">MA4(a)</t>
  </si>
  <si>
    <t xml:space="preserve">MA4</t>
  </si>
  <si>
    <t xml:space="preserve">MR11(a)</t>
  </si>
  <si>
    <t xml:space="preserve">SURF15(a)</t>
  </si>
  <si>
    <t xml:space="preserve">SURF15</t>
  </si>
  <si>
    <t xml:space="preserve">F4-1</t>
  </si>
  <si>
    <t xml:space="preserve">F4</t>
  </si>
  <si>
    <t xml:space="preserve">in-situ?</t>
  </si>
  <si>
    <t xml:space="preserve">Blanchon 2017 reporta edades U-Th en años BP (1950): sin conversión (sep_year_used = 1950)</t>
  </si>
  <si>
    <t xml:space="preserve">SURF11(b)</t>
  </si>
  <si>
    <t xml:space="preserve">SURF11</t>
  </si>
  <si>
    <t xml:space="preserve">MR2(a)</t>
  </si>
  <si>
    <t xml:space="preserve">MR2</t>
  </si>
  <si>
    <t xml:space="preserve">MR6(a)</t>
  </si>
  <si>
    <t xml:space="preserve">SURF22(d)</t>
  </si>
  <si>
    <t xml:space="preserve">SURF20(b)</t>
  </si>
  <si>
    <t xml:space="preserve">SURF20</t>
  </si>
  <si>
    <t xml:space="preserve">SURF8(b)</t>
  </si>
  <si>
    <t xml:space="preserve">CNAT</t>
  </si>
  <si>
    <t xml:space="preserve">SURF12(b)</t>
  </si>
  <si>
    <t xml:space="preserve">F6-B</t>
  </si>
  <si>
    <t xml:space="preserve">F6</t>
  </si>
  <si>
    <t xml:space="preserve">F8-1</t>
  </si>
  <si>
    <t xml:space="preserve">F8</t>
  </si>
  <si>
    <t xml:space="preserve">F6-T</t>
  </si>
  <si>
    <t xml:space="preserve">F11-1</t>
  </si>
  <si>
    <t xml:space="preserve">F11</t>
  </si>
  <si>
    <t xml:space="preserve">F5-1</t>
  </si>
  <si>
    <t xml:space="preserve">F5</t>
  </si>
  <si>
    <t xml:space="preserve">MA5(b)</t>
  </si>
  <si>
    <t xml:space="preserve">F9-B</t>
  </si>
  <si>
    <t xml:space="preserve">F9</t>
  </si>
  <si>
    <t xml:space="preserve">F7-B</t>
  </si>
  <si>
    <t xml:space="preserve">F7</t>
  </si>
  <si>
    <t xml:space="preserve">F7-T</t>
  </si>
  <si>
    <t xml:space="preserve">F9-T</t>
  </si>
  <si>
    <t xml:space="preserve">Resumen (A. palmata, 0–6 ka)</t>
  </si>
  <si>
    <t xml:space="preserve">Registros A. palmata</t>
  </si>
  <si>
    <t xml:space="preserve">Cambian de bin al pasar a BP</t>
  </si>
  <si>
    <t xml:space="preserve">Posteriores a 1950 CE</t>
  </si>
  <si>
    <t xml:space="preserve">Con nombre repetido (réplicas)</t>
  </si>
  <si>
    <t xml:space="preserve">En bin 0–0.1 ka (BP)</t>
  </si>
  <si>
    <t xml:space="preserve">En bin 0.1–0.2 ka (BP)</t>
  </si>
  <si>
    <t xml:space="preserve">En bin 0–0.1 ka (sin convertir)</t>
  </si>
  <si>
    <t xml:space="preserve">En bin 0.1–0.2 ka (sin convertir)</t>
  </si>
  <si>
    <t xml:space="preserve">sample</t>
  </si>
  <si>
    <t xml:space="preserve">species_type</t>
  </si>
  <si>
    <t xml:space="preserve">U238_ppm</t>
  </si>
  <si>
    <t xml:space="preserve">U238_err</t>
  </si>
  <si>
    <t xml:space="preserve">Th230_U238</t>
  </si>
  <si>
    <t xml:space="preserve">Th230_U238_err</t>
  </si>
  <si>
    <t xml:space="preserve">U234_U238</t>
  </si>
  <si>
    <t xml:space="preserve">U234_U238_err</t>
  </si>
  <si>
    <t xml:space="preserve">d234U</t>
  </si>
  <si>
    <t xml:space="preserve">d234U_err</t>
  </si>
  <si>
    <t xml:space="preserve">U238_Th232</t>
  </si>
  <si>
    <t xml:space="preserve">U238_Th232_err</t>
  </si>
  <si>
    <t xml:space="preserve">age_ka</t>
  </si>
  <si>
    <t xml:space="preserve">age_err</t>
  </si>
  <si>
    <t xml:space="preserve">d234U0_err</t>
  </si>
  <si>
    <t xml:space="preserve">A. palmata clast</t>
  </si>
  <si>
    <t xml:space="preserve">&gt;105</t>
  </si>
  <si>
    <t xml:space="preserve">A. palmata in-situ?</t>
  </si>
  <si>
    <t xml:space="preserve">21207</t>
  </si>
  <si>
    <t xml:space="preserve">31400</t>
  </si>
  <si>
    <t xml:space="preserve">10240</t>
  </si>
  <si>
    <t xml:space="preserve">3467</t>
  </si>
  <si>
    <t xml:space="preserve">F6-P</t>
  </si>
  <si>
    <t xml:space="preserve">3494</t>
  </si>
  <si>
    <t xml:space="preserve">1073</t>
  </si>
  <si>
    <t xml:space="preserve">1290</t>
  </si>
  <si>
    <t xml:space="preserve">2144</t>
  </si>
  <si>
    <t xml:space="preserve">19387</t>
  </si>
  <si>
    <t xml:space="preserve">2931</t>
  </si>
  <si>
    <t xml:space="preserve">7633</t>
  </si>
  <si>
    <t xml:space="preserve">15655</t>
  </si>
  <si>
    <t xml:space="preserve">13489</t>
  </si>
  <si>
    <t xml:space="preserve">Fuente: Blanchon et al. (2017), tabla de edades U-Th (transcrita por el autor, 2026-10-02). F6-P (113.9 ka) no está en la base. Errores ± tal como en la tabla original.</t>
  </si>
  <si>
    <t xml:space="preserve">sample_site</t>
  </si>
  <si>
    <t xml:space="preserve">species (fuente)</t>
  </si>
  <si>
    <t xml:space="preserve">tabla_fuente</t>
  </si>
  <si>
    <t xml:space="preserve">método</t>
  </si>
  <si>
    <t xml:space="preserve">lab</t>
  </si>
  <si>
    <t xml:space="preserve">conv14C_BP</t>
  </si>
  <si>
    <t xml:space="preserve">conv14C_err</t>
  </si>
  <si>
    <t xml:space="preserve">origen edad conv.</t>
  </si>
  <si>
    <t xml:space="preserve">t_Marine20_ka</t>
  </si>
  <si>
    <t xml:space="preserve">2σ_Marine20_ka</t>
  </si>
  <si>
    <t xml:space="preserve">keep</t>
  </si>
  <si>
    <t xml:space="preserve">t_used_ka</t>
  </si>
  <si>
    <t xml:space="preserve">bin_new</t>
  </si>
  <si>
    <t xml:space="preserve">BI3-05</t>
  </si>
  <si>
    <t xml:space="preserve">D. clivosa</t>
  </si>
  <si>
    <t xml:space="preserve">Hubbard 2005 (Tabla 1)</t>
  </si>
  <si>
    <t xml:space="preserve">14C</t>
  </si>
  <si>
    <t xml:space="preserve">publicada</t>
  </si>
  <si>
    <t xml:space="preserve">BI6-6</t>
  </si>
  <si>
    <t xml:space="preserve">M. faveolata</t>
  </si>
  <si>
    <t xml:space="preserve">BI?-2</t>
  </si>
  <si>
    <t xml:space="preserve">A. palmata</t>
  </si>
  <si>
    <t xml:space="preserve">HSX 2</t>
  </si>
  <si>
    <t xml:space="preserve">BI?-7</t>
  </si>
  <si>
    <t xml:space="preserve">HSX-1</t>
  </si>
  <si>
    <t xml:space="preserve">BI5-12</t>
  </si>
  <si>
    <t xml:space="preserve">BI5-24</t>
  </si>
  <si>
    <t xml:space="preserve">BI5-22</t>
  </si>
  <si>
    <t xml:space="preserve">BB1-02</t>
  </si>
  <si>
    <t xml:space="preserve">BB1-2</t>
  </si>
  <si>
    <t xml:space="preserve">misma muestra en las dos tablas fuente: se cuenta una vez</t>
  </si>
  <si>
    <t xml:space="preserve">BI2-16</t>
  </si>
  <si>
    <t xml:space="preserve">BI5-40</t>
  </si>
  <si>
    <t xml:space="preserve">BB2-013</t>
  </si>
  <si>
    <t xml:space="preserve">Hubbard 2013 (Tabla S1)</t>
  </si>
  <si>
    <t xml:space="preserve">inferida (Marine98, ΔR=0; ajuste a la edad y al rango 2σ publicados)</t>
  </si>
  <si>
    <t xml:space="preserve">edad convencional inferida ajustando Marine98 (ΔR = 0) a la edad y al rango 2σ publicados en Hubbard et al. 2013 (1735–1630; residuo 63 años)</t>
  </si>
  <si>
    <t xml:space="preserve">BI2-01**</t>
  </si>
  <si>
    <t xml:space="preserve">NLfB Hannover (**)</t>
  </si>
  <si>
    <t xml:space="preserve">BI2-05**</t>
  </si>
  <si>
    <t xml:space="preserve">promediada con BI2-05 (misma colonia, otro laboratorio)</t>
  </si>
  <si>
    <t xml:space="preserve">BI2-05</t>
  </si>
  <si>
    <t xml:space="preserve">promedio ponderado con BI2-05** (misma colonia, dos laboratorios): 2284 ± 53 ¹⁴C BP; test χ² T = 0.32 &lt; 3.84</t>
  </si>
  <si>
    <t xml:space="preserve">BB1-11</t>
  </si>
  <si>
    <t xml:space="preserve">BI2-27**</t>
  </si>
  <si>
    <t xml:space="preserve">mismo par inter-laboratorio que BI2-27 (no es A. palmata; sin cambios)</t>
  </si>
  <si>
    <t xml:space="preserve">BI7-20</t>
  </si>
  <si>
    <t xml:space="preserve">BI2-27</t>
  </si>
  <si>
    <t xml:space="preserve">BI7-29</t>
  </si>
  <si>
    <t xml:space="preserve">BB2-023</t>
  </si>
  <si>
    <t xml:space="preserve">Massive</t>
  </si>
  <si>
    <t xml:space="preserve">inferida (Marine98, ΔR=0; solo edad publicada)</t>
  </si>
  <si>
    <t xml:space="preserve">rango publicado 3200–3075 no contiene la edad: edad convencional inferida solo desde la edad publicada, con σ = 70 años</t>
  </si>
  <si>
    <t xml:space="preserve">BI1-02**</t>
  </si>
  <si>
    <t xml:space="preserve">BI4-02</t>
  </si>
  <si>
    <t xml:space="preserve">D. labrynthiformis</t>
  </si>
  <si>
    <t xml:space="preserve">BI1-13</t>
  </si>
  <si>
    <t xml:space="preserve">edad publicada (3.390 ka) no reproducible desde ¹⁴C 4010 ± 80; se usa la recalibración desde la edad convencional</t>
  </si>
  <si>
    <t xml:space="preserve">BB2-033</t>
  </si>
  <si>
    <t xml:space="preserve">edad convencional inferida ajustando Marine98 (ΔR = 0) a la edad y al rango 2σ publicados en Hubbard et al. 2013 (3975–3705; residuo 7 años)</t>
  </si>
  <si>
    <t xml:space="preserve">BI5-62</t>
  </si>
  <si>
    <t xml:space="preserve">S. siderea</t>
  </si>
  <si>
    <t xml:space="preserve">BI2-43</t>
  </si>
  <si>
    <t xml:space="preserve">BI3-37</t>
  </si>
  <si>
    <t xml:space="preserve">M. annularis</t>
  </si>
  <si>
    <t xml:space="preserve">BI1-24</t>
  </si>
  <si>
    <t xml:space="preserve">BB2-043</t>
  </si>
  <si>
    <t xml:space="preserve">edad convencional inferida ajustando Marine98 (ΔR = 0) a la edad y al rango 2σ publicados en Hubbard et al. 2013 (4815–4590; residuo 108 años)</t>
  </si>
  <si>
    <t xml:space="preserve">LBE6-06</t>
  </si>
  <si>
    <t xml:space="preserve">Diploria sp.</t>
  </si>
  <si>
    <t xml:space="preserve">edad convencional inferida ajustando Marine98 (ΔR = 0) a la edad y al rango 2σ publicados en Hubbard et al. 2013 (5190–4680; residuo 111 años)</t>
  </si>
  <si>
    <t xml:space="preserve">LBE7-02</t>
  </si>
  <si>
    <t xml:space="preserve">edad convencional inferida ajustando Marine98 (ΔR = 0) a la edad y al rango 2σ publicados en Hubbard et al. 2013 (5275–4845; residuo 17 años)</t>
  </si>
  <si>
    <t xml:space="preserve">BI4-14</t>
  </si>
  <si>
    <t xml:space="preserve">BI2-50</t>
  </si>
  <si>
    <t xml:space="preserve">LBE6-18</t>
  </si>
  <si>
    <t xml:space="preserve">edad convencional inferida ajustando Marine98 (ΔR = 0) a la edad y al rango 2σ publicados en Hubbard et al. 2013 (5645–5325; residuo 69 años)</t>
  </si>
  <si>
    <t xml:space="preserve">BI3-49</t>
  </si>
  <si>
    <t xml:space="preserve">M. faeolata?</t>
  </si>
  <si>
    <t xml:space="preserve">A1-011</t>
  </si>
  <si>
    <t xml:space="preserve">edad convencional inferida ajustando Marine98 (ΔR = 0) a la edad y al rango 2σ publicados en Hubbard et al. 2013 (5900–5640; residuo 18 años)</t>
  </si>
  <si>
    <t xml:space="preserve">LBS4-08</t>
  </si>
  <si>
    <t xml:space="preserve">edad convencional inferida ajustando Marine98 (ΔR = 0) a la edad y al rango 2σ publicados en Hubbard et al. 2013 (5975–5680; residuo 53 años)</t>
  </si>
  <si>
    <t xml:space="preserve">LBS4-04</t>
  </si>
  <si>
    <t xml:space="preserve">rango publicado 5960–6745 (imposible; probable 5960–5745): edad convencional inferida solo desde la edad publicada, con σ = 70 años</t>
  </si>
  <si>
    <t xml:space="preserve">LBE5-18</t>
  </si>
  <si>
    <t xml:space="preserve">edad convencional inferida ajustando Marine98 (ΔR = 0) a la edad y al rango 2σ publicados en Hubbard et al. 2013 (6145–5710; residuo 15 años)</t>
  </si>
  <si>
    <t xml:space="preserve">LBE7-18</t>
  </si>
  <si>
    <t xml:space="preserve">edad convencional inferida ajustando Marine98 (ΔR = 0) a la edad y al rango 2σ publicados en Hubbard et al. 2013 (6130–5795; residuo 48 años)</t>
  </si>
  <si>
    <t xml:space="preserve">A2-012</t>
  </si>
  <si>
    <t xml:space="preserve">edad convencional inferida ajustando Marine98 (ΔR = 0) a la edad y al rango 2σ publicados en Hubbard et al. 2013 (6257–5914; residuo 30 años)</t>
  </si>
  <si>
    <t xml:space="preserve">LBE6-30</t>
  </si>
  <si>
    <t xml:space="preserve">edad convencional inferida ajustando Marine98 (ΔR = 0) a la edad y al rango 2σ publicados en Hubbard et al. 2013 (6270–5885; residuo 8 años)</t>
  </si>
  <si>
    <t xml:space="preserve">LBE5-12</t>
  </si>
  <si>
    <t xml:space="preserve">edad convencional inferida ajustando Marine98 (ΔR = 0) a la edad y al rango 2σ publicados en Hubbard et al. 2013 (6290–5905; residuo 40 años)</t>
  </si>
  <si>
    <t xml:space="preserve">BI4-21**</t>
  </si>
  <si>
    <t xml:space="preserve">LBN1-06</t>
  </si>
  <si>
    <t xml:space="preserve">edad convencional inferida ajustando Marine98 (ΔR = 0) a la edad y al rango 2σ publicados en Hubbard et al. 2013 (6364–6015; residuo 5 años)</t>
  </si>
  <si>
    <t xml:space="preserve">LBE5-25</t>
  </si>
  <si>
    <t xml:space="preserve">edad convencional inferida ajustando Marine98 (ΔR = 0) a la edad y al rango 2σ publicados en Hubbard et al. 2013 (6430–6000; residuo 27 años)</t>
  </si>
  <si>
    <t xml:space="preserve">LBE8-02</t>
  </si>
  <si>
    <t xml:space="preserve">edad convencional inferida ajustando Marine98 (ΔR = 0) a la edad y al rango 2σ publicados en Hubbard et al. 2013 (6520–6205; residuo 8 años)</t>
  </si>
  <si>
    <t xml:space="preserve">LBE9-03</t>
  </si>
  <si>
    <t xml:space="preserve">A1-022</t>
  </si>
  <si>
    <t xml:space="preserve">edad convencional inferida ajustando Marine98 (ΔR = 0) a la edad y al rango 2σ publicados en Hubbard et al. 2013 (6491–6289; residuo 11 años)</t>
  </si>
  <si>
    <t xml:space="preserve">LBS3-03</t>
  </si>
  <si>
    <t xml:space="preserve">edad convencional inferida ajustando Marine98 (ΔR = 0) a la edad y al rango 2σ publicados en Hubbard et al. 2013 (6655–6265; residuo 27 años)</t>
  </si>
  <si>
    <t xml:space="preserve">A1-041</t>
  </si>
  <si>
    <t xml:space="preserve">edad convencional inferida ajustando Marine98 (ΔR = 0) a la edad y al rango 2σ publicados en Hubbard et al. 2013 (6633–6304; residuo 26 años)</t>
  </si>
  <si>
    <t xml:space="preserve">LBN1-19</t>
  </si>
  <si>
    <t xml:space="preserve">edad convencional inferida ajustando Marine98 (ΔR = 0) a la edad y al rango 2σ publicados en Hubbard et al. 2013 (6685–6285; residuo 22 años)</t>
  </si>
  <si>
    <t xml:space="preserve">A1-032</t>
  </si>
  <si>
    <t xml:space="preserve">edad convencional inferida ajustando Marine98 (ΔR = 0) a la edad y al rango 2σ publicados en Hubbard et al. 2013 (6634–6318; residuo 2 años)</t>
  </si>
  <si>
    <t xml:space="preserve">LBS4-14</t>
  </si>
  <si>
    <t xml:space="preserve">edad convencional inferida ajustando Marine98 (ΔR = 0) a la edad y al rango 2σ publicados en Hubbard et al. 2013 (6675–6395; residuo 30 años)</t>
  </si>
  <si>
    <t xml:space="preserve">LBE5-53</t>
  </si>
  <si>
    <t xml:space="preserve">edad convencional inferida ajustando Marine98 (ΔR = 0) a la edad y al rango 2σ publicados en Hubbard et al. 2013 (6750–6395; residuo 32 años)</t>
  </si>
  <si>
    <t xml:space="preserve">LBE7-54</t>
  </si>
  <si>
    <t xml:space="preserve">edad convencional inferida ajustando Marine98 (ΔR = 0) a la edad y al rango 2σ publicados en Hubbard et al. 2013 (6775–6415; residuo 37 años)</t>
  </si>
  <si>
    <t xml:space="preserve">LBN2-05</t>
  </si>
  <si>
    <t xml:space="preserve">edad convencional inferida ajustando Marine98 (ΔR = 0) a la edad y al rango 2σ publicados en Hubbard et al. 2013 (6810–6405; residuo 39 años)</t>
  </si>
  <si>
    <t xml:space="preserve">LBE6-39</t>
  </si>
  <si>
    <t xml:space="preserve">edad convencional inferida ajustando Marine98 (ΔR = 0) a la edad y al rango 2σ publicados en Hubbard et al. 2013 (6825–6415; residuo 37 años)</t>
  </si>
  <si>
    <t xml:space="preserve">A2-022</t>
  </si>
  <si>
    <t xml:space="preserve">edad convencional inferida ajustando Marine98 (ΔR = 0) a la edad y al rango 2σ publicados en Hubbard et al. 2013 (6882–6319; residuo 87 años)</t>
  </si>
  <si>
    <t xml:space="preserve">LBE8-22</t>
  </si>
  <si>
    <t xml:space="preserve">edad convencional inferida ajustando Marine98 (ΔR = 0) a la edad y al rango 2σ publicados en Hubbard et al. 2013 (6850–6470; residuo 26 años)</t>
  </si>
  <si>
    <t xml:space="preserve">LBE5-66</t>
  </si>
  <si>
    <t xml:space="preserve">edad convencional inferida ajustando Marine98 (ΔR = 0) a la edad y al rango 2σ publicados en Hubbard et al. 2013 (6915–6570; residuo 12 años)</t>
  </si>
  <si>
    <t xml:space="preserve">BI1-40</t>
  </si>
  <si>
    <t xml:space="preserve">LBN2-18</t>
  </si>
  <si>
    <t xml:space="preserve">edad convencional inferida ajustando Marine98 (ΔR = 0) a la edad y al rango 2σ publicados en Hubbard et al. 2013 (7210–6865; residuo 9 años)</t>
  </si>
  <si>
    <t xml:space="preserve">LBE9-12</t>
  </si>
  <si>
    <t xml:space="preserve">edad convencional inferida ajustando Marine98 (ΔR = 0) a la edad y al rango 2σ publicados en Hubbard et al. 2013 (7230–6855; residuo 14 años)</t>
  </si>
  <si>
    <t xml:space="preserve">LBE8-36</t>
  </si>
  <si>
    <t xml:space="preserve">edad convencional inferida ajustando Marine98 (ΔR = 0) a la edad y al rango 2σ publicados en Hubbard et al. 2013 (7215–6875; residuo 18 años)</t>
  </si>
  <si>
    <t xml:space="preserve">LBE9-19</t>
  </si>
  <si>
    <t xml:space="preserve">edad convencional inferida ajustando Marine98 (ΔR = 0) a la edad y al rango 2σ publicados en Hubbard et al. 2013 (7240–6960; residuo 47 años)</t>
  </si>
  <si>
    <t xml:space="preserve">BI4-39</t>
  </si>
  <si>
    <t xml:space="preserve">LBN2-41</t>
  </si>
  <si>
    <t xml:space="preserve">edad convencional inferida ajustando Marine98 (ΔR = 0) a la edad y al rango 2σ publicados en Hubbard et al. 2013 (7325–7005; residuo 13 años)</t>
  </si>
  <si>
    <t xml:space="preserve">LBN2-30</t>
  </si>
  <si>
    <t xml:space="preserve">edad convencional inferida ajustando Marine98 (ΔR = 0) a la edad y al rango 2σ publicados en Hubbard et al. 2013 (7385–7155; residuo 23 años)</t>
  </si>
  <si>
    <t xml:space="preserve">LBS4-21</t>
  </si>
  <si>
    <t xml:space="preserve">edad convencional inferida ajustando Marine98 (ΔR = 0) a la edad y al rango 2σ publicados en Hubbard et al. 2013 (7385–7210; residuo 29 años)</t>
  </si>
  <si>
    <t xml:space="preserve">LBE8-60</t>
  </si>
  <si>
    <t xml:space="preserve">edad convencional inferida ajustando Marine98 (ΔR = 0) a la edad y al rango 2σ publicados en Hubbard et al. 2013 (7430–7175; residuo 6 años)</t>
  </si>
  <si>
    <t xml:space="preserve">LBS3-11</t>
  </si>
  <si>
    <t xml:space="preserve">edad convencional inferida ajustando Marine98 (ΔR = 0) a la edad y al rango 2σ publicados en Hubbard et al. 2013 (7460–7190; residuo 12 años)</t>
  </si>
  <si>
    <t xml:space="preserve">LBS3-06</t>
  </si>
  <si>
    <t xml:space="preserve">edad convencional inferida ajustando Marine98 (ΔR = 0) a la edad y al rango 2σ publicados en Hubbard et al. 2013 (7525–7210; residuo 19 años)</t>
  </si>
  <si>
    <t xml:space="preserve">LBN2-29</t>
  </si>
  <si>
    <t xml:space="preserve">U-Th</t>
  </si>
  <si>
    <t xml:space="preserve">—</t>
  </si>
  <si>
    <t xml:space="preserve">U-Th (en cursiva en la Tabla S1 de Hubbard et al. 2013), ± 70 años: sin recalibrar</t>
  </si>
  <si>
    <t xml:space="preserve">A2-32</t>
  </si>
  <si>
    <t xml:space="preserve">edad convencional inferida ajustando Marine98 (ΔR = 0) a la edad y al rango 2σ publicados en Hubbard et al. 2013 (7575–7329; residuo 70 años)</t>
  </si>
  <si>
    <t xml:space="preserve">BI1-52</t>
  </si>
  <si>
    <t xml:space="preserve">LBN2-39</t>
  </si>
  <si>
    <t xml:space="preserve">U-Th (en cursiva en la Tabla S1 de Hubbard et al. 2013), ± 97 años: sin recalibrar</t>
  </si>
  <si>
    <t xml:space="preserve">LBS3-15</t>
  </si>
  <si>
    <t xml:space="preserve">edad convencional inferida ajustando Marine98 (ΔR = 0) a la edad y al rango 2σ publicados en Hubbard et al. 2013 (7805–7535; residuo 23 años)</t>
  </si>
  <si>
    <t xml:space="preserve">BB1-26</t>
  </si>
  <si>
    <t xml:space="preserve">LBN2-36</t>
  </si>
  <si>
    <t xml:space="preserve">U-Th (en cursiva en la Tabla S1 de Hubbard et al. 2013), ± 39 años: sin recalibrar</t>
  </si>
  <si>
    <t xml:space="preserve">LBN2-35</t>
  </si>
  <si>
    <t xml:space="preserve">edad convencional inferida ajustando Marine98 (ΔR = 0) a la edad y al rango 2σ publicados en Hubbard et al. 2013 (7890–7560; residuo 7 años)</t>
  </si>
  <si>
    <t xml:space="preserve">BB1-23</t>
  </si>
  <si>
    <t xml:space="preserve">LBS4-34</t>
  </si>
  <si>
    <t xml:space="preserve">edad convencional inferida ajustando Marine98 (ΔR = 0) a la edad y al rango 2σ publicados en Hubbard et al. 2013 (7930–7690; residuo 18 años)</t>
  </si>
  <si>
    <t xml:space="preserve">A3-011</t>
  </si>
  <si>
    <t xml:space="preserve">edad convencional inferida ajustando Marine98 (ΔR = 0) a la edad y al rango 2σ publicados en Hubbard et al. 2013 (7933–7665; residuo 108 años)</t>
  </si>
  <si>
    <t xml:space="preserve">LBE6-56</t>
  </si>
  <si>
    <t xml:space="preserve">edad convencional inferida ajustando Marine98 (ΔR = 0) a la edad y al rango 2σ publicados en Hubbard et al. 2013 (8145–7890; residuo 23 años)</t>
  </si>
  <si>
    <t xml:space="preserve">LBS4-38</t>
  </si>
  <si>
    <t xml:space="preserve">edad convencional inferida ajustando Marine98 (ΔR = 0) a la edad y al rango 2σ publicados en Hubbard et al. 2013 (8185–7915; residuo 29 años)</t>
  </si>
  <si>
    <t xml:space="preserve">LBN2-47</t>
  </si>
  <si>
    <t xml:space="preserve">U-Th (en cursiva en la Tabla S1 de Hubbard et al. 2013), ± 80 años: sin recalibrar</t>
  </si>
  <si>
    <t xml:space="preserve">LBS3-19</t>
  </si>
  <si>
    <t xml:space="preserve">edad convencional inferida ajustando Marine98 (ΔR = 0) a la edad y al rango 2σ publicados en Hubbard et al. 2013 (8310–7920; residuo 9 años)</t>
  </si>
  <si>
    <t xml:space="preserve">LBE6-58</t>
  </si>
  <si>
    <t xml:space="preserve">edad convencional inferida ajustando Marine98 (ΔR = 0) a la edad y al rango 2σ publicados en Hubbard et al. 2013 (8970–8560; residuo 29 años)</t>
  </si>
  <si>
    <t xml:space="preserve">LBS3-26</t>
  </si>
  <si>
    <t xml:space="preserve">edad convencional inferida ajustando Marine98 (ΔR = 0) a la edad y al rango 2σ publicados en Hubbard et al. 2013 (8985–8776; residuo 27 años)</t>
  </si>
  <si>
    <t xml:space="preserve">A3-021</t>
  </si>
  <si>
    <t xml:space="preserve">edad convencional inferida ajustando Marine98 (ΔR = 0) a la edad y al rango 2σ publicados en Hubbard et al. 2013 (10487–9943; residuo 571 años)</t>
  </si>
  <si>
    <t xml:space="preserve">A. palmata 0–6 ka, base actual (edad publicada)</t>
  </si>
  <si>
    <t xml:space="preserve">A. palmata 0–6 ka, depurada y recalibrada (keep = yes)</t>
  </si>
  <si>
    <t xml:space="preserve">…de ellos, cambian de bin</t>
  </si>
  <si>
    <t xml:space="preserve">A. palmata que entran a 0–6 ka por la recalibración</t>
  </si>
  <si>
    <t xml:space="preserve">Recalibración: Marine20 con ΔR = 64 ± 32 ¹⁴C años (DiNapoli et al. 2020, frente a Frederiksted; Marine Reservoir Database, MapNo 2121), con el error de ΔR propagado en cuadratura; iosacal; mediana y semiamplitud del intervalo 95 %.</t>
  </si>
  <si>
    <t xml:space="preserve">Hubbard 2005 (Tabla 1): edad convencional publicada. La calibración original (Marine98, ΔR = 0) se reproduce con ±60 años en 34 de 37 muestras.</t>
  </si>
  <si>
    <t xml:space="preserve">Hubbard et al. 2013, Tabla S1 (338_2013_1041_MOESM1_ESM.docx): edad cal BP y rango 2σ, sin edad convencional. Se infiere la edad convencional (y su σ) que, con Marine98 y ΔR = 0, reproduce la edad y el rango publicados. La curva se verifica con BB1-02: 1630 ± 70 → 1297–1024 con Marine98 frente a 1295–1020 publicado. Supuesto a declarar.</t>
  </si>
  <si>
    <t xml:space="preserve">U-Th: solo LBN2-29, LBN2-36, LBN2-39 y LBN2-47 (en cursiva en la Tabla S1, con su error). BB2-013, BB2-043 y A1-032 son ¹⁴C (corrección de la clasificación provisional). Las U-Th se mantienen sin cambios.</t>
  </si>
  <si>
    <t xml:space="preserve">Valores numéricos calculados en Python (sc_recal.py); bins y conteos con fórmulas.</t>
  </si>
  <si>
    <t xml:space="preserve">core</t>
  </si>
  <si>
    <t xml:space="preserve">group (base)</t>
  </si>
  <si>
    <t xml:space="preserve">coral (Tabla S2)</t>
  </si>
  <si>
    <t xml:space="preserve">especie</t>
  </si>
  <si>
    <t xml:space="preserve">err_2σ_pub_yr</t>
  </si>
  <si>
    <t xml:space="preserve">group_corr</t>
  </si>
  <si>
    <t xml:space="preserve">t_sens_ΔRreg_ka</t>
  </si>
  <si>
    <t xml:space="preserve">bin_sens</t>
  </si>
  <si>
    <t xml:space="preserve">bin_sens≠bin_new</t>
  </si>
  <si>
    <t xml:space="preserve">BBR 1</t>
  </si>
  <si>
    <t xml:space="preserve">Acropora</t>
  </si>
  <si>
    <t xml:space="preserve">U-Th (new, this study)</t>
  </si>
  <si>
    <t xml:space="preserve">U-Th −0.008 ± 0.010 ka BP en la Tabla S1 (~1958 CE): bin 0–0.1 ka. La edad negativa confirma la referencia 1950 de GEOMAR</t>
  </si>
  <si>
    <t xml:space="preserve">BBR 6</t>
  </si>
  <si>
    <t xml:space="preserve">Other species</t>
  </si>
  <si>
    <t xml:space="preserve">Porites</t>
  </si>
  <si>
    <t xml:space="preserve">GR 1</t>
  </si>
  <si>
    <t xml:space="preserve">BBR 10</t>
  </si>
  <si>
    <t xml:space="preserve">BBR 7</t>
  </si>
  <si>
    <t xml:space="preserve">GR 3</t>
  </si>
  <si>
    <t xml:space="preserve">BBR 2</t>
  </si>
  <si>
    <t xml:space="preserve">LR 10</t>
  </si>
  <si>
    <t xml:space="preserve">BBR 3</t>
  </si>
  <si>
    <t xml:space="preserve">Orbicella</t>
  </si>
  <si>
    <t xml:space="preserve">BBR 9</t>
  </si>
  <si>
    <t xml:space="preserve">BBR 5</t>
  </si>
  <si>
    <t xml:space="preserve">Pseudodiploria</t>
  </si>
  <si>
    <t xml:space="preserve">14C (older)</t>
  </si>
  <si>
    <t xml:space="preserve">Gischler &amp; Hudson 2004, Tabla 1 (publicada)</t>
  </si>
  <si>
    <t xml:space="preserve">TR 4</t>
  </si>
  <si>
    <t xml:space="preserve">inferida (inversión Marine98, ΔR=0, desde el punto medio publicado)</t>
  </si>
  <si>
    <t xml:space="preserve">atolones (Gischler &amp; Hudson 1998, sin edad convencional publicada): edad convencional inferida invirtiendo Marine98 con ΔR = 0, curva que reproduce la Tabla 1 de 2004</t>
  </si>
  <si>
    <t xml:space="preserve">TR 5</t>
  </si>
  <si>
    <t xml:space="preserve">LR 7</t>
  </si>
  <si>
    <t xml:space="preserve">Ap</t>
  </si>
  <si>
    <t xml:space="preserve">BBR 8</t>
  </si>
  <si>
    <t xml:space="preserve">LR 14</t>
  </si>
  <si>
    <t xml:space="preserve">BBR 4</t>
  </si>
  <si>
    <t xml:space="preserve">LR 12</t>
  </si>
  <si>
    <t xml:space="preserve">LR 13</t>
  </si>
  <si>
    <t xml:space="preserve">LR 11</t>
  </si>
  <si>
    <t xml:space="preserve">A. cervicornis</t>
  </si>
  <si>
    <t xml:space="preserve">A. cervicornis codificada como palmata en la base: se reclasifica</t>
  </si>
  <si>
    <t xml:space="preserve">edad del log de la Fig. S4 (4675±165, O); la Tabla S2 da 5250 para LR 11 a 5.4 m. No es A. palmata</t>
  </si>
  <si>
    <t xml:space="preserve">U-Th (older)</t>
  </si>
  <si>
    <t xml:space="preserve">la Tabla S2 da 5005; Gischler &amp; Hudson 2004 (5270–4840, punto medio 5055) y el log dan 5055: errata de la Tabla S2. Se recalibra desde la edad convencional</t>
  </si>
  <si>
    <t xml:space="preserve">Agaricia</t>
  </si>
  <si>
    <t xml:space="preserve">BBR 11</t>
  </si>
  <si>
    <t xml:space="preserve">GR 2</t>
  </si>
  <si>
    <t xml:space="preserve">P. astreoides</t>
  </si>
  <si>
    <t xml:space="preserve">2004 la identifica como P. astreoides; el log de la Fig. S4 dice Ap; especie en conflicto entre fuentes (se mantiene palmata; &gt; 6 ka)</t>
  </si>
  <si>
    <t xml:space="preserve">Gischler &amp; Hudson 2004, Tabla 1 (publicada); ausente de la Tabla S2</t>
  </si>
  <si>
    <t xml:space="preserve">no está en la Tabla S2; sí en Gischler &amp; Hudson 2004 (BBR 2-4.4, Beta-171851)</t>
  </si>
  <si>
    <t xml:space="preserve">no está en la Tabla S2 ni en 2004 con esta edad: revisar origen</t>
  </si>
  <si>
    <t xml:space="preserve">Siderastrea</t>
  </si>
  <si>
    <t xml:space="preserve">M. cavernosa</t>
  </si>
  <si>
    <t xml:space="preserve">A. palmata 0–6 ka, base actual</t>
  </si>
  <si>
    <t xml:space="preserve">A. palmata 0–6 ka, corregida (group_corr, t_used, keep = yes)</t>
  </si>
  <si>
    <t xml:space="preserve">…de ellas U-Th</t>
  </si>
  <si>
    <t xml:space="preserve">…de ellas ¹⁴C (Marine20)</t>
  </si>
  <si>
    <t xml:space="preserve">…cambian de bin</t>
  </si>
  <si>
    <t xml:space="preserve">Sensibilidad ΔR regional: A. palmata 0–6 ka</t>
  </si>
  <si>
    <t xml:space="preserve">Fuentes: SI de Gischler et al. 2023 (Tablas S1, S2, Fig. S4) y Gischler &amp; Hudson 2004, Tabla 1 (edades convencionales Beta Analytic, corregidas por δ13C; transcrita por el autor).</t>
  </si>
  <si>
    <t xml:space="preserve">U-Th: BP 1950 (edad negativa en BBR 1): sin conversión.</t>
  </si>
  <si>
    <t xml:space="preserve">¹⁴C: Marine20 con ΔR = −248 ± 35 (Greer et al. 2020, Coral Gardens, Belice; Marine Reservoir Database MapNo 3346; captura del autor). Error propagado en cuadratura; mediana y semiamplitud del 95 %. Calibración original reproducida con Marine98 / Marine04 y ΔR = 0 (diferencia media de 13 / 6 años).</t>
  </si>
  <si>
    <t xml:space="preserve">Atolones (GR, TR, LR; Gischler &amp; Hudson 1998): sin edad convencional publicada; se infiere invirtiendo Marine98 (ΔR = 0) desde el punto medio publicado. Supuesto a declarar.</t>
  </si>
  <si>
    <t xml:space="preserve">Sensibilidad de ΔR (columna V): ΔR = −114 ± 70, promedio ponderado por inverso de la varianza de los 10 puntos más cercanos de la Marine Reservoir Database (Greer et al. 2020, −248 ± 35; Castro et al. 2025, Isla Mujeres, 9 valores entre −186 y −31); incertidumbre = la mayor entre la DE (70) y el EE ponderado (8). Motivo: −248 es un valor puntual, muy negativo frente al entorno.</t>
  </si>
  <si>
    <t xml:space="preserve">Valores numéricos calculados en Python (bz_recal.py); bins y conteos con fórmulas.</t>
  </si>
  <si>
    <t xml:space="preserve">sample_id</t>
  </si>
  <si>
    <t xml:space="preserve">reef</t>
  </si>
  <si>
    <t xml:space="preserve">subregión (estrato)</t>
  </si>
  <si>
    <t xml:space="preserve">base fuente</t>
  </si>
  <si>
    <t xml:space="preserve">ΔR(Marine13)</t>
  </si>
  <si>
    <t xml:space="preserve">t_LT_Marine20_ka</t>
  </si>
  <si>
    <t xml:space="preserve">err_2σ_ka</t>
  </si>
  <si>
    <t xml:space="preserve">bin_pub</t>
  </si>
  <si>
    <t xml:space="preserve">bin_used</t>
  </si>
  <si>
    <t xml:space="preserve">DT-PL-2-0</t>
  </si>
  <si>
    <t xml:space="preserve">Pulaski Light</t>
  </si>
  <si>
    <t xml:space="preserve">Florida_Main_Reef</t>
  </si>
  <si>
    <t xml:space="preserve">FKRT_Radiometric_Ages</t>
  </si>
  <si>
    <t xml:space="preserve">DT-PL-3-2.5</t>
  </si>
  <si>
    <t xml:space="preserve">DT-PL-3-10</t>
  </si>
  <si>
    <t xml:space="preserve">DT-PL-4-6</t>
  </si>
  <si>
    <t xml:space="preserve">LK-RK-N3-0</t>
  </si>
  <si>
    <t xml:space="preserve">Rock Key Moorings</t>
  </si>
  <si>
    <t xml:space="preserve">LK-WS-1-0</t>
  </si>
  <si>
    <t xml:space="preserve">Western Sambo</t>
  </si>
  <si>
    <t xml:space="preserve">LK-WS-3-1</t>
  </si>
  <si>
    <t xml:space="preserve">LK-WS-3-5</t>
  </si>
  <si>
    <t xml:space="preserve">LK-LK-2-0N</t>
  </si>
  <si>
    <t xml:space="preserve">Looe Key</t>
  </si>
  <si>
    <t xml:space="preserve">LK-LK-2-0</t>
  </si>
  <si>
    <t xml:space="preserve">LK-LK-2-10</t>
  </si>
  <si>
    <t xml:space="preserve">LK-LK-2-13</t>
  </si>
  <si>
    <t xml:space="preserve">MK-SR-3-0</t>
  </si>
  <si>
    <t xml:space="preserve">Sombrero Reef</t>
  </si>
  <si>
    <t xml:space="preserve">MK-SR-3-3</t>
  </si>
  <si>
    <t xml:space="preserve">MK-TN-1-1</t>
  </si>
  <si>
    <t xml:space="preserve">Tennessee Reef</t>
  </si>
  <si>
    <t xml:space="preserve">MK-AR-2-1</t>
  </si>
  <si>
    <t xml:space="preserve">Alligator Reef</t>
  </si>
  <si>
    <t xml:space="preserve">MK-AR-4-1.5</t>
  </si>
  <si>
    <t xml:space="preserve">MK-AR-7-0</t>
  </si>
  <si>
    <t xml:space="preserve">UK-KL-5-0</t>
  </si>
  <si>
    <t xml:space="preserve">Key Largo</t>
  </si>
  <si>
    <t xml:space="preserve">UK-GR-5-5</t>
  </si>
  <si>
    <t xml:space="preserve">Grecian Rocks </t>
  </si>
  <si>
    <t xml:space="preserve">UK-GR-5-10</t>
  </si>
  <si>
    <t xml:space="preserve">UK-CF-7-1</t>
  </si>
  <si>
    <t xml:space="preserve">Carysfort</t>
  </si>
  <si>
    <t xml:space="preserve">BP-LR-1-2.5</t>
  </si>
  <si>
    <t xml:space="preserve">Long Reef</t>
  </si>
  <si>
    <t xml:space="preserve">BP-LR-2-0</t>
  </si>
  <si>
    <t xml:space="preserve">IR-9-2</t>
  </si>
  <si>
    <t xml:space="preserve">The Caves reef</t>
  </si>
  <si>
    <t xml:space="preserve">S. Florida sea-level database</t>
  </si>
  <si>
    <t xml:space="preserve">IR-14-1</t>
  </si>
  <si>
    <t xml:space="preserve">IR-14-2</t>
  </si>
  <si>
    <t xml:space="preserve">BP-LR-2-0-b / Long Reef #2</t>
  </si>
  <si>
    <t xml:space="preserve">Long reef</t>
  </si>
  <si>
    <t xml:space="preserve">UK-CF-7-1-b / Carysfort #1</t>
  </si>
  <si>
    <t xml:space="preserve">Carysfort reef</t>
  </si>
  <si>
    <t xml:space="preserve">UK-CF-HM-7-b / WL</t>
  </si>
  <si>
    <t xml:space="preserve">Carysfort Light</t>
  </si>
  <si>
    <t xml:space="preserve">UK-GR-5-0-b</t>
  </si>
  <si>
    <t xml:space="preserve">Grecian Rocks</t>
  </si>
  <si>
    <t xml:space="preserve">MK-AR-7-0-b</t>
  </si>
  <si>
    <t xml:space="preserve">Alligator reef</t>
  </si>
  <si>
    <t xml:space="preserve">MK-SR-3-0-b</t>
  </si>
  <si>
    <t xml:space="preserve">Sombrero reef</t>
  </si>
  <si>
    <t xml:space="preserve">LK2-1 / LK-LK-2-0</t>
  </si>
  <si>
    <t xml:space="preserve">LK2-2 / LK-LK-2-10</t>
  </si>
  <si>
    <t xml:space="preserve">LK2-3 / LK-LK-2-26</t>
  </si>
  <si>
    <t xml:space="preserve">LK-LK-2-0-b / LK2-1</t>
  </si>
  <si>
    <t xml:space="preserve">LK-LK-2-10-b / LK2</t>
  </si>
  <si>
    <t xml:space="preserve">BR-IR-CR-9-0.1</t>
  </si>
  <si>
    <t xml:space="preserve">SoutheastFloridaHolocenecoralda</t>
  </si>
  <si>
    <t xml:space="preserve">BR-IR-CR-9-0.4</t>
  </si>
  <si>
    <t xml:space="preserve">BR-IR-CR-14-0.1</t>
  </si>
  <si>
    <t xml:space="preserve">BR-IR-CR-14-0.6</t>
  </si>
  <si>
    <t xml:space="preserve">BR-NR-DF-2.0</t>
  </si>
  <si>
    <t xml:space="preserve">Deerfield Ledges</t>
  </si>
  <si>
    <t xml:space="preserve">BR-NR-DF-2.3a</t>
  </si>
  <si>
    <t xml:space="preserve">BR-NR-DF-2.3b</t>
  </si>
  <si>
    <t xml:space="preserve">MD-IR-PM-7.0</t>
  </si>
  <si>
    <t xml:space="preserve">Miami Beach</t>
  </si>
  <si>
    <t xml:space="preserve">MD-IR-PM-7.3a</t>
  </si>
  <si>
    <t xml:space="preserve">MD-IR-PM-7.9</t>
  </si>
  <si>
    <t xml:space="preserve">MD-IR-PM-6.4</t>
  </si>
  <si>
    <t xml:space="preserve">MD-IR-PM-5.8</t>
  </si>
  <si>
    <t xml:space="preserve">MD-IR-PM-8.5</t>
  </si>
  <si>
    <t xml:space="preserve">MD-OR-PM-10.1</t>
  </si>
  <si>
    <t xml:space="preserve">MD-OR-PM-11.0a</t>
  </si>
  <si>
    <t xml:space="preserve">MD-OR-PM-10.7a</t>
  </si>
  <si>
    <t xml:space="preserve">MD-IR/OR-PM-6.7</t>
  </si>
  <si>
    <t xml:space="preserve">Southern terminus</t>
  </si>
  <si>
    <t xml:space="preserve">PMP-51</t>
  </si>
  <si>
    <t xml:space="preserve">Modys_nearshore_ridge</t>
  </si>
  <si>
    <t xml:space="preserve">Late_Holocene_coral_data_from_S</t>
  </si>
  <si>
    <t xml:space="preserve">PMP-02C</t>
  </si>
  <si>
    <t xml:space="preserve">PMP-05C</t>
  </si>
  <si>
    <t xml:space="preserve">PMP-76</t>
  </si>
  <si>
    <t xml:space="preserve">PMP-64</t>
  </si>
  <si>
    <t xml:space="preserve">PMP-75</t>
  </si>
  <si>
    <t xml:space="preserve">PMP-63</t>
  </si>
  <si>
    <t xml:space="preserve">PMP-61</t>
  </si>
  <si>
    <t xml:space="preserve">PMP-98</t>
  </si>
  <si>
    <t xml:space="preserve">PMP-99</t>
  </si>
  <si>
    <t xml:space="preserve">PMP-42</t>
  </si>
  <si>
    <t xml:space="preserve">PMP-04C</t>
  </si>
  <si>
    <t xml:space="preserve">PMP-01C</t>
  </si>
  <si>
    <t xml:space="preserve">PMP-97</t>
  </si>
  <si>
    <t xml:space="preserve">PMP-96</t>
  </si>
  <si>
    <t xml:space="preserve">PMP-53</t>
  </si>
  <si>
    <t xml:space="preserve">PMP-40</t>
  </si>
  <si>
    <t xml:space="preserve">PMP-74</t>
  </si>
  <si>
    <t xml:space="preserve">PT-100</t>
  </si>
  <si>
    <t xml:space="preserve">PT-101</t>
  </si>
  <si>
    <t xml:space="preserve">PT-102</t>
  </si>
  <si>
    <t xml:space="preserve">Ap23-LK-T2</t>
  </si>
  <si>
    <t xml:space="preserve">Long Key island</t>
  </si>
  <si>
    <t xml:space="preserve">Dry_Tortugas</t>
  </si>
  <si>
    <t xml:space="preserve">DRTO_Late_Holocene_Acropora_Use</t>
  </si>
  <si>
    <t xml:space="preserve">Ap23-BK-2</t>
  </si>
  <si>
    <t xml:space="preserve">Bird Key reef</t>
  </si>
  <si>
    <t xml:space="preserve">Ap23-BK-3</t>
  </si>
  <si>
    <t xml:space="preserve">Ap23-BK-4</t>
  </si>
  <si>
    <t xml:space="preserve">Ap23-BK-6</t>
  </si>
  <si>
    <t xml:space="preserve">Ap23-BK-7</t>
  </si>
  <si>
    <t xml:space="preserve">Ap23-BK-9W</t>
  </si>
  <si>
    <t xml:space="preserve">Ap23-BK-11W</t>
  </si>
  <si>
    <t xml:space="preserve">Ap23-PW-2</t>
  </si>
  <si>
    <t xml:space="preserve">Pulaski West</t>
  </si>
  <si>
    <t xml:space="preserve">Ap23-PLS-1</t>
  </si>
  <si>
    <t xml:space="preserve">Pulaski Light reef</t>
  </si>
  <si>
    <t xml:space="preserve">DT-PL-Ap-2B</t>
  </si>
  <si>
    <t xml:space="preserve">DRTO_Late_Holocene_Acropora_rad</t>
  </si>
  <si>
    <t xml:space="preserve">DT-PL-Ap-3</t>
  </si>
  <si>
    <t xml:space="preserve">DT-PL-Ap-7</t>
  </si>
  <si>
    <t xml:space="preserve">Ap18-PLS-1</t>
  </si>
  <si>
    <t xml:space="preserve">Ap18-PLS-2</t>
  </si>
  <si>
    <t xml:space="preserve">Ap18-PLS-3</t>
  </si>
  <si>
    <t xml:space="preserve">Ap18-PLN-1</t>
  </si>
  <si>
    <t xml:space="preserve">Ap18-PLN-2</t>
  </si>
  <si>
    <t xml:space="preserve">Ap18-South-1</t>
  </si>
  <si>
    <t xml:space="preserve">Pulaski Shoal south</t>
  </si>
  <si>
    <t xml:space="preserve">Ap18-South-2</t>
  </si>
  <si>
    <t xml:space="preserve">DT-PW-Ap-1</t>
  </si>
  <si>
    <t xml:space="preserve">Ap18-PW-1</t>
  </si>
  <si>
    <t xml:space="preserve">Ap18-PW-2</t>
  </si>
  <si>
    <t xml:space="preserve">Ap18-MB-1</t>
  </si>
  <si>
    <t xml:space="preserve">Middle Bank</t>
  </si>
  <si>
    <t xml:space="preserve">Ap18-EK-1</t>
  </si>
  <si>
    <t xml:space="preserve">East Key reef</t>
  </si>
  <si>
    <t xml:space="preserve">Ap18-EK-2</t>
  </si>
  <si>
    <t xml:space="preserve">Ap18-EK-3</t>
  </si>
  <si>
    <t xml:space="preserve">Ap18-EK-4</t>
  </si>
  <si>
    <t xml:space="preserve">Ap18-EK-5</t>
  </si>
  <si>
    <t xml:space="preserve">Ap-SE-N1</t>
  </si>
  <si>
    <t xml:space="preserve">Long Key reef</t>
  </si>
  <si>
    <t xml:space="preserve">Ap-SE-N2</t>
  </si>
  <si>
    <t xml:space="preserve">Ap-SE-N3</t>
  </si>
  <si>
    <t xml:space="preserve">Ap-SE-S1</t>
  </si>
  <si>
    <t xml:space="preserve">Ap-SE-S2</t>
  </si>
  <si>
    <t xml:space="preserve">Ap-SE-S3</t>
  </si>
  <si>
    <t xml:space="preserve">Ap-SE-S4</t>
  </si>
  <si>
    <t xml:space="preserve">Ap23-LK-S1</t>
  </si>
  <si>
    <t xml:space="preserve">Ap23-LK-S2</t>
  </si>
  <si>
    <t xml:space="preserve">Ap23-LK-S4</t>
  </si>
  <si>
    <t xml:space="preserve">Ap23-LK-T3</t>
  </si>
  <si>
    <t xml:space="preserve">Ap23-BK-1</t>
  </si>
  <si>
    <t xml:space="preserve">Ap23-BK-5</t>
  </si>
  <si>
    <t xml:space="preserve">Ap23-BK-10W</t>
  </si>
  <si>
    <t xml:space="preserve">Ap23-PW-3</t>
  </si>
  <si>
    <t xml:space="preserve">Filas en la lista de LT</t>
  </si>
  <si>
    <t xml:space="preserve">Registros únicos conservados (keep = yes)</t>
  </si>
  <si>
    <t xml:space="preserve">…¹⁴C</t>
  </si>
  <si>
    <t xml:space="preserve">…U-Th</t>
  </si>
  <si>
    <t xml:space="preserve">…cambian de bin (publicada → usada)</t>
  </si>
  <si>
    <t xml:space="preserve">Fuentes: Florida_Toth_rev_ages.xlsx y FL_Marine20 UPDT and standardization.xlsx (edades recalibradas por L. Toth, enviadas por correo), cruzadas con las bases originales (FKRT, SFCRT, DRTO ¹⁴C y U-series, NRC, base de nivel del mar).</t>
  </si>
  <si>
    <t xml:space="preserve">¹⁴C: Marine20 según LT. Su recalibración se reproduce con ΔR = ΔR(Marine13) − 150 dentro de ±50 años, salvo en Looe Key (LK-LK-2-0N, -2-0, -2-10, -2-13: +129 a +353 años); allí se usan los valores de LT y se marcan.</t>
  </si>
  <si>
    <t xml:space="preserve">Recalibradas aquí con esa regla (no estaban en la lista de LT): UK-GR-5-0-b, UK-CF-HM-7-b (σ convencional no publicado: 35 años), LK-LK-2-26 (taxón "unknown" en la FKRT).</t>
  </si>
  <si>
    <t xml:space="preserve">DRTO ¹⁴C ya en Marine20 (idénticas). U-Th en BP 1950 según los metadatos: sin conversión.</t>
  </si>
  <si>
    <t xml:space="preserve">Duplicados excluidos: DT-PL-2-0, -3-2.5, -3-10 (FKRT = DRTO); 8 duplicados de la base de nivel del mar con la FKRT; IR-9-2, IR-14-1, IR-14-2 (= BR-IR-CR-*). MD-IR-PM-6.4 y -7.0: el mismo ID para dos muestras distintas; se conservan ambas.</t>
  </si>
  <si>
    <t xml:space="preserve">Estratos (subregiones) = fuentes que ya usa el pipeline para la estandarización por fuente: la estandarización de LT coincide con la existente.</t>
  </si>
  <si>
    <t xml:space="preserve">Valores numéricos calculados en Python (fl_join.py, fl_build.py); bins y conteos con fórmulas.</t>
  </si>
  <si>
    <t xml:space="preserve">site</t>
  </si>
  <si>
    <t xml:space="preserve">sample_id_source</t>
  </si>
  <si>
    <t xml:space="preserve">source</t>
  </si>
  <si>
    <t xml:space="preserve">stratum</t>
  </si>
  <si>
    <t xml:space="preserve">method</t>
  </si>
  <si>
    <t xml:space="preserve">ref_year</t>
  </si>
  <si>
    <t xml:space="preserve">err_2s_ka</t>
  </si>
  <si>
    <t xml:space="preserve">conv14C</t>
  </si>
  <si>
    <t xml:space="preserve">dR</t>
  </si>
  <si>
    <t xml:space="preserve">dR_err</t>
  </si>
  <si>
    <t xml:space="preserve">curve</t>
  </si>
  <si>
    <t xml:space="preserve">t_sens_dR_regional_ka</t>
  </si>
  <si>
    <t xml:space="preserve">subregion</t>
  </si>
  <si>
    <t xml:space="preserve">t_LT_marine20_ka</t>
  </si>
  <si>
    <t xml:space="preserve">in_model</t>
  </si>
  <si>
    <t xml:space="preserve">Punta Maroma</t>
  </si>
  <si>
    <t xml:space="preserve">Medina-Valmaseda et al. 2025</t>
  </si>
  <si>
    <t xml:space="preserve">&lt;Flags(allows_duplicate_labels=True)&gt;</t>
  </si>
  <si>
    <t xml:space="preserve">Saint Croix</t>
  </si>
  <si>
    <t xml:space="preserve">Hubbard et al. 2005</t>
  </si>
  <si>
    <t xml:space="preserve">Hubbard et al. 2005; 2013</t>
  </si>
  <si>
    <t xml:space="preserve">Marine20</t>
  </si>
  <si>
    <t xml:space="preserve">Hubbard et al. 2013</t>
  </si>
  <si>
    <t xml:space="preserve">Belize</t>
  </si>
  <si>
    <t xml:space="preserve">BBR 1 (0.000)</t>
  </si>
  <si>
    <t xml:space="preserve">Gischler et al. 2023</t>
  </si>
  <si>
    <t xml:space="preserve">BBR 6 (0.083)</t>
  </si>
  <si>
    <t xml:space="preserve">GR 1 (0.087)</t>
  </si>
  <si>
    <t xml:space="preserve">BBR 10 (0.099)</t>
  </si>
  <si>
    <t xml:space="preserve">BBR 7 (0.119)</t>
  </si>
  <si>
    <t xml:space="preserve">GR 3 (0.120)</t>
  </si>
  <si>
    <t xml:space="preserve">BBR 2 (0.122)</t>
  </si>
  <si>
    <t xml:space="preserve">LR 10 (0.137)</t>
  </si>
  <si>
    <t xml:space="preserve">BBR 3 (0.147)</t>
  </si>
  <si>
    <t xml:space="preserve">BBR 9 (0.336)</t>
  </si>
  <si>
    <t xml:space="preserve">BBR 5 (0.645)</t>
  </si>
  <si>
    <t xml:space="preserve">BBR 9 (0.660)</t>
  </si>
  <si>
    <t xml:space="preserve">Gischler &amp; Hudson 2004/1998</t>
  </si>
  <si>
    <t xml:space="preserve">TR 4 (0.870)</t>
  </si>
  <si>
    <t xml:space="preserve">BBR 5 (0.990)</t>
  </si>
  <si>
    <t xml:space="preserve">BBR 7 (1.035)</t>
  </si>
  <si>
    <t xml:space="preserve">TR 5 (1.084)</t>
  </si>
  <si>
    <t xml:space="preserve">BBR 6 (1.105)</t>
  </si>
  <si>
    <t xml:space="preserve">TR 5 (1.191)</t>
  </si>
  <si>
    <t xml:space="preserve">BBR 2 (1.452)</t>
  </si>
  <si>
    <t xml:space="preserve">LR 7 (1.464)</t>
  </si>
  <si>
    <t xml:space="preserve">TR 5 (1.470)</t>
  </si>
  <si>
    <t xml:space="preserve">BBR 8 (1.670)</t>
  </si>
  <si>
    <t xml:space="preserve">LR 14 (1.797)</t>
  </si>
  <si>
    <t xml:space="preserve">BBR 4 (1.968)</t>
  </si>
  <si>
    <t xml:space="preserve">LR 12 (1.990)</t>
  </si>
  <si>
    <t xml:space="preserve">GR 3 (2.720)</t>
  </si>
  <si>
    <t xml:space="preserve">GR 1 (2.835)</t>
  </si>
  <si>
    <t xml:space="preserve">BBR 8 (2.975)</t>
  </si>
  <si>
    <t xml:space="preserve">LR 13 (2.980)</t>
  </si>
  <si>
    <t xml:space="preserve">BBR 4 (3.235)</t>
  </si>
  <si>
    <t xml:space="preserve">GR 3 (3.485)</t>
  </si>
  <si>
    <t xml:space="preserve">LR 13 (3.545)</t>
  </si>
  <si>
    <t xml:space="preserve">BBR 3 (3.684)</t>
  </si>
  <si>
    <t xml:space="preserve">LR 7 (3.825)</t>
  </si>
  <si>
    <t xml:space="preserve">BBR 6 (4.202)</t>
  </si>
  <si>
    <t xml:space="preserve">LR 11 (4.277)</t>
  </si>
  <si>
    <t xml:space="preserve">GR 1 (4.371)</t>
  </si>
  <si>
    <t xml:space="preserve">LR 7 (4.397)</t>
  </si>
  <si>
    <t xml:space="preserve">LR 10 (4.424)</t>
  </si>
  <si>
    <t xml:space="preserve">BBR 6 (4.435)</t>
  </si>
  <si>
    <t xml:space="preserve">LR 7 (4.565)</t>
  </si>
  <si>
    <t xml:space="preserve">LR 12 (4.569)</t>
  </si>
  <si>
    <t xml:space="preserve">BBR 1 (4.601)</t>
  </si>
  <si>
    <t xml:space="preserve">LR 7 (4.625)</t>
  </si>
  <si>
    <t xml:space="preserve">LR 11 (4.675)</t>
  </si>
  <si>
    <t xml:space="preserve">BBR 7 (4.695)</t>
  </si>
  <si>
    <t xml:space="preserve">LR 10 (4.813)</t>
  </si>
  <si>
    <t xml:space="preserve">BBR 1 (4.875)</t>
  </si>
  <si>
    <t xml:space="preserve">BBR 2 (5.005)</t>
  </si>
  <si>
    <t xml:space="preserve">TR 4 (5.035)</t>
  </si>
  <si>
    <t xml:space="preserve">GR 1 (5.055)</t>
  </si>
  <si>
    <t xml:space="preserve">BBR 6 (5.146)</t>
  </si>
  <si>
    <t xml:space="preserve">BBR 4 (5.170)</t>
  </si>
  <si>
    <t xml:space="preserve">LR 12 (5.178)</t>
  </si>
  <si>
    <t xml:space="preserve">BBR 7 (5.188)</t>
  </si>
  <si>
    <t xml:space="preserve">BBR 5 (5.247)</t>
  </si>
  <si>
    <t xml:space="preserve">BBR 11 (5.340)</t>
  </si>
  <si>
    <t xml:space="preserve">BBR 9 (5.340)</t>
  </si>
  <si>
    <t xml:space="preserve">BBR 10 (5.390)</t>
  </si>
  <si>
    <t xml:space="preserve">BBR 4 (5.538)</t>
  </si>
  <si>
    <t xml:space="preserve">GR 1 (5.541)</t>
  </si>
  <si>
    <t xml:space="preserve">GR 2 (5.575)</t>
  </si>
  <si>
    <t xml:space="preserve">BBR 6 (5.810)</t>
  </si>
  <si>
    <t xml:space="preserve">BBR 7 (5.850)</t>
  </si>
  <si>
    <t xml:space="preserve">TR 4 (5.968)</t>
  </si>
  <si>
    <t xml:space="preserve">BBR 8 (6.000)</t>
  </si>
  <si>
    <t xml:space="preserve">BBR 5 (6.135)</t>
  </si>
  <si>
    <t xml:space="preserve">BBR 10 (6.220)</t>
  </si>
  <si>
    <t xml:space="preserve">BBR 8 (6.252)</t>
  </si>
  <si>
    <t xml:space="preserve">BBR 6 (6.259)</t>
  </si>
  <si>
    <t xml:space="preserve">BBR 1 (6.289)</t>
  </si>
  <si>
    <t xml:space="preserve">BBR 7 (6.309)</t>
  </si>
  <si>
    <t xml:space="preserve">GR 2 (6.322)</t>
  </si>
  <si>
    <t xml:space="preserve">BBR 1 (6.375)</t>
  </si>
  <si>
    <t xml:space="preserve">BBR 6 (6.420)</t>
  </si>
  <si>
    <t xml:space="preserve">BBR 8 (6.423)</t>
  </si>
  <si>
    <t xml:space="preserve">BBR 1 (6.445)</t>
  </si>
  <si>
    <t xml:space="preserve">LR 14 (6.499)</t>
  </si>
  <si>
    <t xml:space="preserve">BBR 11 (6.525)</t>
  </si>
  <si>
    <t xml:space="preserve">BBR 4 (6.610)</t>
  </si>
  <si>
    <t xml:space="preserve">GR 1 (6.637)</t>
  </si>
  <si>
    <t xml:space="preserve">BBR 3 (6.650)</t>
  </si>
  <si>
    <t xml:space="preserve">BBR 2 (6.675)</t>
  </si>
  <si>
    <t xml:space="preserve">BBR 3 (6.679)</t>
  </si>
  <si>
    <t xml:space="preserve">BBR 7 (6.705)</t>
  </si>
  <si>
    <t xml:space="preserve">GR 1 (6.725)</t>
  </si>
  <si>
    <t xml:space="preserve">BBR 9 (6.777)</t>
  </si>
  <si>
    <t xml:space="preserve">LR 7 (6.885)</t>
  </si>
  <si>
    <t xml:space="preserve">LR 12 (6.891)</t>
  </si>
  <si>
    <t xml:space="preserve">BBR 1 (6.911)</t>
  </si>
  <si>
    <t xml:space="preserve">BBR 6 (6.963)</t>
  </si>
  <si>
    <t xml:space="preserve">BBR 4 (6.990)</t>
  </si>
  <si>
    <t xml:space="preserve">BBR 8 (6.990)</t>
  </si>
  <si>
    <t xml:space="preserve">BBR 11 (6.995)</t>
  </si>
  <si>
    <t xml:space="preserve">BBR 10 (7.037)</t>
  </si>
  <si>
    <t xml:space="preserve">GR 1 (7.045)</t>
  </si>
  <si>
    <t xml:space="preserve">BBR 5 (7.066)</t>
  </si>
  <si>
    <t xml:space="preserve">BBR 9 (7.070)</t>
  </si>
  <si>
    <t xml:space="preserve">BBR 9 (7.071)</t>
  </si>
  <si>
    <t xml:space="preserve">BBR 1 (7.098)</t>
  </si>
  <si>
    <t xml:space="preserve">LR 12 (7.145)</t>
  </si>
  <si>
    <t xml:space="preserve">GR 1 (7.185)</t>
  </si>
  <si>
    <t xml:space="preserve">GR 1 (7.260)</t>
  </si>
  <si>
    <t xml:space="preserve">BBR 8 (7.320)</t>
  </si>
  <si>
    <t xml:space="preserve">BBR 1 (7.325)</t>
  </si>
  <si>
    <t xml:space="preserve">GR 2 (7.451)</t>
  </si>
  <si>
    <t xml:space="preserve">GR 2 (7.459)</t>
  </si>
  <si>
    <t xml:space="preserve">BBR 10 (7.460)</t>
  </si>
  <si>
    <t xml:space="preserve">GR 2 (7.512)</t>
  </si>
  <si>
    <t xml:space="preserve">BBR 5 (7.660)</t>
  </si>
  <si>
    <t xml:space="preserve">BBR 4 (7.685)</t>
  </si>
  <si>
    <t xml:space="preserve">BBR 3 (7.705)</t>
  </si>
  <si>
    <t xml:space="preserve">BBR 8 (7.706)</t>
  </si>
  <si>
    <t xml:space="preserve">GR 2 (7.785)</t>
  </si>
  <si>
    <t xml:space="preserve">BBR 9 (8.040)</t>
  </si>
  <si>
    <t xml:space="preserve">BBR 4 (8.148)</t>
  </si>
  <si>
    <t xml:space="preserve">BBR 2 (8.165)</t>
  </si>
  <si>
    <t xml:space="preserve">BBR 8 (8.260)</t>
  </si>
  <si>
    <t xml:space="preserve">BBR 3 (8.307)</t>
  </si>
  <si>
    <t xml:space="preserve">BBR 5 (8.521)</t>
  </si>
  <si>
    <t xml:space="preserve">BBR 4 (9.002)</t>
  </si>
  <si>
    <t xml:space="preserve">Florida</t>
  </si>
  <si>
    <t xml:space="preserve">Toth et al. (FKRT)</t>
  </si>
  <si>
    <t xml:space="preserve">Toth et al., 2019;Modys et al., 2024</t>
  </si>
  <si>
    <t xml:space="preserve">Toth et al. 2017 (S. Florida sea-level DB)</t>
  </si>
  <si>
    <t xml:space="preserve">Toth et al. 2021 (SFCRT)</t>
  </si>
  <si>
    <t xml:space="preserve">Modys et al. 2022</t>
  </si>
  <si>
    <t xml:space="preserve">Modys et al., 2022</t>
  </si>
  <si>
    <t xml:space="preserve">Stathakopoulos et al. 2025</t>
  </si>
  <si>
    <t xml:space="preserve">Stathakopoulos et al., 2025</t>
  </si>
  <si>
    <t xml:space="preserve">Fecha</t>
  </si>
  <si>
    <t xml:space="preserve">Sitio</t>
  </si>
  <si>
    <t xml:space="preserve">Decisión / hallazgo</t>
  </si>
  <si>
    <t xml:space="preserve">Fuente</t>
  </si>
  <si>
    <t xml:space="preserve">2026-10-02</t>
  </si>
  <si>
    <t xml:space="preserve">Edades U-Th referidas al año de separación; se convierten a BP 1950.</t>
  </si>
  <si>
    <t xml:space="preserve">Table S1 Figshare; master log</t>
  </si>
  <si>
    <t xml:space="preserve">Lote M/MR/MA: año de separación = 2021 (el master log dice 2023).</t>
  </si>
  <si>
    <t xml:space="preserve">Autor (A. Medina-Valmaseda)</t>
  </si>
  <si>
    <t xml:space="preserve">Serie F = Blanchon et al. 2017; las 13 edades de la base coinciden con la tabla publicada. Las edades ya están en años BP: no se convierten.</t>
  </si>
  <si>
    <t xml:space="preserve">Blanchon et al. 2017; autor</t>
  </si>
  <si>
    <t xml:space="preserve">Réplicas M1(a) y M5(b) son submuestras: se conservan ambas.</t>
  </si>
  <si>
    <t xml:space="preserve">Autor</t>
  </si>
  <si>
    <t xml:space="preserve">SURF7(a) (~1956 CE) se asigna al bin más reciente (0–0.1 ka).</t>
  </si>
  <si>
    <t xml:space="preserve">12 de las 13 muestras F son clastos (solo F4-1 in situ?): se conservan; anotado.</t>
  </si>
  <si>
    <t xml:space="preserve">Nombres corregidos por cruce de edad: M11(b) = MR11(b) (0.3028 ka); SURF10(e) = SURF3(e) (1.04254 ka).</t>
  </si>
  <si>
    <t xml:space="preserve">master log</t>
  </si>
  <si>
    <t xml:space="preserve">BB1-02/BB1-2, BB1-11, BB1-23, BB1-26 aparecen en las dos tablas fuente: se cuentan una vez.</t>
  </si>
  <si>
    <t xml:space="preserve">hubbard 2005.xlsx</t>
  </si>
  <si>
    <t xml:space="preserve">Todas las edades ¹⁴C se recalibran con Marine20, ΔR = 64 ± 32 (DiNapoli et al. 2020), igual que Florida (LT). Original: Marine98, ΔR = 0.</t>
  </si>
  <si>
    <t xml:space="preserve">Autor; Marine Reservoir Database</t>
  </si>
  <si>
    <t xml:space="preserve">BI1-13: se usa la recalibración desde la edad convencional (la edad publicada no es reproducible).</t>
  </si>
  <si>
    <t xml:space="preserve">Decisión delegada por el autor</t>
  </si>
  <si>
    <t xml:space="preserve">BI2-05 + BI2-05**: una sola edad, promedio ponderado de las edades convencionales (χ² T = 0.32), recalibrada.</t>
  </si>
  <si>
    <t xml:space="preserve">Tabla compilada = Hubbard et al. 2013 (lo que no está en 2005). Mezcla ¹⁴C y U-Th; U-Th provisional: LBN2-29, -36, -39, -47, A1-032, BB2-013, BB2-043.</t>
  </si>
  <si>
    <t xml:space="preserve">Autor; criterio 2σ = 0 / edad no redondeada</t>
  </si>
  <si>
    <t xml:space="preserve">Belice</t>
  </si>
  <si>
    <t xml:space="preserve">Fuente: SI de Gischler et al. 2023 (Tablas S1, S2, Fig. S4). U-Th en BP 1950 (edad negativa en BBR 1): sin conversión.</t>
  </si>
  <si>
    <t xml:space="preserve">41598_2023_38118_MOESM1_ESM.pdf</t>
  </si>
  <si>
    <t xml:space="preserve">A. cervicornis codificadas como palmata en la base se reclasifican (7 registros; 1 en 0–6 ka: LR 10, 4.424).</t>
  </si>
  <si>
    <t xml:space="preserve">Tabla S1; Fig. S4</t>
  </si>
  <si>
    <t xml:space="preserve">¹⁴C: recalibración Marine20, ΔR = −248 ± 35 (Greer et al. 2020). Barrera: edades convencionales de Gischler &amp; Hudson 2004; atolones: inferidas por inversión de Marine98.</t>
  </si>
  <si>
    <t xml:space="preserve">Autor; Marine Reservoir Database; Gischler &amp; Hudson 2004</t>
  </si>
  <si>
    <t xml:space="preserve">BBR 2 5005 (Tabla S2) es errata de 5055 (2004 y log); BBR 2 6.675 viene de 2004 (BBR 2-4.4), ausente de la Tabla S2; BBR 1 4.875 = A. palmata (2004).</t>
  </si>
  <si>
    <t xml:space="preserve">Gischler &amp; Hudson 2004</t>
  </si>
  <si>
    <t xml:space="preserve">Sensibilidad de ΔR: −114 ± 70 (promedio ponderado de los 10 puntos más cercanos de la Marine Reservoir Database) frente al ΔR principal −248 ± 35 (Greer et al. 2020).</t>
  </si>
  <si>
    <t xml:space="preserve">Tabla S1 de Hubbard et al. 2013: U-Th = LBN2-29, -36, -39, -47 (cursiva); BB2-013, BB2-043 y A1-032 pasan a ¹⁴C y se recalibran. Edades convencionales de 2013 reinferidas ajustando edad + rango 2σ con Marine98 (verificado con BB1-02).</t>
  </si>
  <si>
    <t xml:space="preserve">338_2013_1041_MOESM1_ESM.docx</t>
  </si>
  <si>
    <t xml:space="preserve">Erratas de rango en la Tabla S1 de 2013: LBS4-04 (5960–6745), BB1-11 (2175–2050), BB2-023 (3200–3075). LBS4-04 y BB2-023 se infieren solo desde la edad (σ = 70); BB1-11 usa su edad convencional de 2005. Las 3 muestras ¹⁴C "muertas" (&gt; 30 ka) no entran.</t>
  </si>
  <si>
    <t xml:space="preserve">Edades recalibradas a Marine20 por L. Toth (correo; Florida_Toth_rev_ages.xlsx, FL_Marine20 UPDT and standardization.xlsx). 125 filas → 111 registros únicos (37 ¹⁴C + 10 U-Th Dry Tortugas; 42 ¹⁴C + 1 U-Th Main Reef; 21 U-Th Modys).</t>
  </si>
  <si>
    <t xml:space="preserve">L. Toth; bases FKRT, SFCRT, DRTO, NRC</t>
  </si>
  <si>
    <t xml:space="preserve">Duplicados excluidos (14): 3 FKRT = DRTO; 8 base de nivel del mar = FKRT; IR-9-2, IR-14-1, IR-14-2 = BR-IR-CR-*. MD-IR-PM-6.4 / -7.0: mismo ID para dos muestras: se conservan.</t>
  </si>
  <si>
    <t xml:space="preserve">fl_build.py</t>
  </si>
  <si>
    <t xml:space="preserve">Regla que reproduce la recalibración de LT: ΔR = ΔR(Marine13) − 150. Aplicada a UK-GR-5-0-b, UK-CF-HM-7-b (σ asumido 35), LK-LK-2-26. Looe Key (4 muestras) difiere +129 a +353 años: se usan los valores de LT y se marcan.</t>
  </si>
  <si>
    <t xml:space="preserve">Estandarización de LT por subregión = estandarización por fuente ya implementada en el qmd (mismos estratos).</t>
  </si>
  <si>
    <t xml:space="preserve">FL_Marine20 UPDT and standardization.xlsx</t>
  </si>
  <si>
    <t xml:space="preserve">Todos</t>
  </si>
  <si>
    <t xml:space="preserve">Master log (hoja Master_log; master_ages_M3.csv): 236 registros de A. palmata en 0–6 ka (PM 64 U-Th; SC 22 ¹⁴C; BZ 21 U-Th + 18 ¹⁴C; FL 79 ¹⁴C + 32 U-Th); antes 257.</t>
  </si>
  <si>
    <t xml:space="preserve">master_log.py</t>
  </si>
  <si>
    <t xml:space="preserve">Monte Carlo M3: las 3 muestras recalibradas aquí no tienen error de ΔR; se usa la mediana del error de ΔR de Florida (25.7 años) solo para las réplicas.</t>
  </si>
  <si>
    <t xml:space="preserve">draws.py</t>
  </si>
  <si>
    <t xml:space="preserve">2026-10-03</t>
  </si>
  <si>
    <t xml:space="preserve">Nuevo archivo de entrada del qmd: ages_kernel_reg_updt2.xlsx (hoja Registros, mismas 8 columnas e ID que ages_kernel_reg_updt.xlsx), generado desde esta auditoría. Cambian t_ka (edad auditada en ka BP) y group (7 A. cervicornis de Belice); se eliminan 22 filas repetidas (Florida 17, Saint Croix 5); Barbados se copia sin cambios. Hoja Trazabilidad: fila a fila, updt1 frente a updt2.</t>
  </si>
  <si>
    <t xml:space="preserve">build_updt2.py; write_updt2.py</t>
  </si>
  <si>
    <t xml:space="preserve">SURF7(a) (−0.00568 ka, posterior a 1950) se conserva con su edad; el qmd filtra t_ka &gt; −0.1 y asigna los bins con pmax(t_ka, 0), de modo que entra en el bin 0–0.1 ka (antes el filtro t_ka ≥ 0 la excluía).</t>
  </si>
  <si>
    <t xml:space="preserve">regional_analysis_Final.qmd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</si>
</sst>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3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28"/>
    <col collapsed="false" customWidth="true" hidden="false" outlineLevel="0" max="16" min="13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0" min="19" style="0" width="7"/>
    <col collapsed="false" customWidth="true" hidden="false" outlineLevel="0" max="22" min="21" style="0" width="8"/>
    <col collapsed="false" customWidth="true" hidden="false" outlineLevel="0" max="23" min="23" style="0" width="9"/>
    <col collapsed="false" customWidth="true" hidden="false" outlineLevel="0" max="24" min="24" style="0" width="70"/>
  </cols>
  <sheetData>
    <row r="1" customFormat="false" ht="26.85" hidden="false" customHeight="fals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</row>
    <row r="2" customFormat="false" ht="15" hidden="false" customHeight="false" outlineLevel="0" collapsed="false">
      <c r="A2" s="2" t="n">
        <v>324</v>
      </c>
      <c r="B2" s="2" t="s">
        <v>37</v>
      </c>
      <c r="C2" s="2" t="s">
        <v>37</v>
      </c>
      <c r="D2" s="2" t="s">
        <v>38</v>
      </c>
      <c r="E2" s="2" t="s">
        <v>39</v>
      </c>
      <c r="F2" s="2" t="s">
        <v>40</v>
      </c>
      <c r="G2" s="2" t="n">
        <v>-1.83</v>
      </c>
      <c r="H2" s="2" t="n">
        <v>-86.96920901</v>
      </c>
      <c r="I2" s="2" t="n">
        <v>20.71987697</v>
      </c>
      <c r="J2" s="2" t="s">
        <v>41</v>
      </c>
      <c r="K2" s="2"/>
      <c r="L2" s="2" t="s">
        <v>42</v>
      </c>
      <c r="M2" s="2" t="n">
        <v>2021</v>
      </c>
      <c r="N2" s="4" t="n">
        <v>2021</v>
      </c>
      <c r="O2" s="2" t="n">
        <v>0.06532</v>
      </c>
      <c r="P2" s="2" t="n">
        <v>0.00011</v>
      </c>
      <c r="Q2" s="2" t="n">
        <v>146</v>
      </c>
      <c r="R2" s="2" t="n">
        <f aca="false">O2-(N2-1950)/1000</f>
        <v>-0.00567999999999999</v>
      </c>
      <c r="S2" s="2" t="n">
        <f aca="false">ROUNDUP(ROUND(O2,6)*10,0)/10</f>
        <v>0.1</v>
      </c>
      <c r="T2" s="2" t="n">
        <f aca="false">MAX(0.1,ROUNDUP(ROUND(R2,6)*10,0)/10)</f>
        <v>0.1</v>
      </c>
      <c r="U2" s="2" t="str">
        <f aca="false">IF(S2&lt;&gt;T2,"yes","no")</f>
        <v>no</v>
      </c>
      <c r="V2" s="2" t="str">
        <f aca="false">IF(R2&lt;0,"yes","no")</f>
        <v>yes</v>
      </c>
      <c r="W2" s="2" t="s">
        <v>43</v>
      </c>
      <c r="X2" s="2"/>
    </row>
    <row r="3" customFormat="false" ht="15" hidden="false" customHeight="false" outlineLevel="0" collapsed="false">
      <c r="A3" s="2" t="n">
        <v>325</v>
      </c>
      <c r="B3" s="2" t="s">
        <v>44</v>
      </c>
      <c r="C3" s="2" t="s">
        <v>44</v>
      </c>
      <c r="D3" s="2" t="s">
        <v>38</v>
      </c>
      <c r="E3" s="2" t="s">
        <v>39</v>
      </c>
      <c r="F3" s="2" t="s">
        <v>45</v>
      </c>
      <c r="G3" s="2" t="n">
        <v>-0.94</v>
      </c>
      <c r="H3" s="2" t="n">
        <v>-86.957042</v>
      </c>
      <c r="I3" s="2" t="n">
        <v>20.732034</v>
      </c>
      <c r="J3" s="2" t="s">
        <v>41</v>
      </c>
      <c r="K3" s="2"/>
      <c r="L3" s="2" t="s">
        <v>42</v>
      </c>
      <c r="M3" s="2" t="n">
        <v>2021</v>
      </c>
      <c r="N3" s="4" t="n">
        <v>2021</v>
      </c>
      <c r="O3" s="2" t="n">
        <v>0.07449</v>
      </c>
      <c r="P3" s="2" t="n">
        <v>0.00045</v>
      </c>
      <c r="Q3" s="2" t="n">
        <v>149</v>
      </c>
      <c r="R3" s="2" t="n">
        <f aca="false">O3-(N3-1950)/1000</f>
        <v>0.00349000000000001</v>
      </c>
      <c r="S3" s="2" t="n">
        <f aca="false">ROUNDUP(ROUND(O3,6)*10,0)/10</f>
        <v>0.1</v>
      </c>
      <c r="T3" s="2" t="n">
        <f aca="false">MAX(0.1,ROUNDUP(ROUND(R3,6)*10,0)/10)</f>
        <v>0.1</v>
      </c>
      <c r="U3" s="2" t="str">
        <f aca="false">IF(S3&lt;&gt;T3,"yes","no")</f>
        <v>no</v>
      </c>
      <c r="V3" s="2" t="str">
        <f aca="false">IF(R3&lt;0,"yes","no")</f>
        <v>no</v>
      </c>
      <c r="W3" s="2" t="s">
        <v>43</v>
      </c>
      <c r="X3" s="2"/>
    </row>
    <row r="4" customFormat="false" ht="15" hidden="false" customHeight="false" outlineLevel="0" collapsed="false">
      <c r="A4" s="2" t="n">
        <v>326</v>
      </c>
      <c r="B4" s="2" t="s">
        <v>46</v>
      </c>
      <c r="C4" s="2" t="s">
        <v>46</v>
      </c>
      <c r="D4" s="2" t="s">
        <v>47</v>
      </c>
      <c r="E4" s="2" t="s">
        <v>48</v>
      </c>
      <c r="F4" s="2" t="s">
        <v>49</v>
      </c>
      <c r="G4" s="2" t="n">
        <v>-2.4</v>
      </c>
      <c r="H4" s="2" t="n">
        <v>-86.97594998</v>
      </c>
      <c r="I4" s="2" t="n">
        <v>20.71433603</v>
      </c>
      <c r="J4" s="2" t="s">
        <v>50</v>
      </c>
      <c r="K4" s="2"/>
      <c r="L4" s="2" t="s">
        <v>42</v>
      </c>
      <c r="M4" s="2" t="n">
        <v>2021</v>
      </c>
      <c r="N4" s="4" t="n">
        <v>2021</v>
      </c>
      <c r="O4" s="2" t="n">
        <v>0.08242</v>
      </c>
      <c r="P4" s="2" t="n">
        <v>0.00043</v>
      </c>
      <c r="Q4" s="2" t="n">
        <v>147</v>
      </c>
      <c r="R4" s="2" t="n">
        <f aca="false">O4-(N4-1950)/1000</f>
        <v>0.01142</v>
      </c>
      <c r="S4" s="2" t="n">
        <f aca="false">ROUNDUP(ROUND(O4,6)*10,0)/10</f>
        <v>0.1</v>
      </c>
      <c r="T4" s="2" t="n">
        <f aca="false">MAX(0.1,ROUNDUP(ROUND(R4,6)*10,0)/10)</f>
        <v>0.1</v>
      </c>
      <c r="U4" s="2" t="str">
        <f aca="false">IF(S4&lt;&gt;T4,"yes","no")</f>
        <v>no</v>
      </c>
      <c r="V4" s="2" t="str">
        <f aca="false">IF(R4&lt;0,"yes","no")</f>
        <v>no</v>
      </c>
      <c r="W4" s="2" t="s">
        <v>43</v>
      </c>
      <c r="X4" s="2"/>
    </row>
    <row r="5" customFormat="false" ht="15" hidden="false" customHeight="false" outlineLevel="0" collapsed="false">
      <c r="A5" s="2" t="n">
        <v>327</v>
      </c>
      <c r="B5" s="2" t="s">
        <v>51</v>
      </c>
      <c r="C5" s="2" t="s">
        <v>51</v>
      </c>
      <c r="D5" s="2" t="s">
        <v>38</v>
      </c>
      <c r="E5" s="2" t="s">
        <v>39</v>
      </c>
      <c r="F5" s="2" t="s">
        <v>45</v>
      </c>
      <c r="G5" s="2" t="n">
        <v>-0.94</v>
      </c>
      <c r="H5" s="2" t="n">
        <v>-86.957042</v>
      </c>
      <c r="I5" s="2" t="n">
        <v>20.732034</v>
      </c>
      <c r="J5" s="2" t="s">
        <v>41</v>
      </c>
      <c r="K5" s="2"/>
      <c r="L5" s="2" t="s">
        <v>42</v>
      </c>
      <c r="M5" s="2" t="n">
        <v>2021</v>
      </c>
      <c r="N5" s="4" t="n">
        <v>2021</v>
      </c>
      <c r="O5" s="2" t="n">
        <v>0.08433</v>
      </c>
      <c r="P5" s="2" t="n">
        <v>0.00955</v>
      </c>
      <c r="Q5" s="2" t="n">
        <v>146</v>
      </c>
      <c r="R5" s="2" t="n">
        <f aca="false">O5-(N5-1950)/1000</f>
        <v>0.01333</v>
      </c>
      <c r="S5" s="2" t="n">
        <f aca="false">ROUNDUP(ROUND(O5,6)*10,0)/10</f>
        <v>0.1</v>
      </c>
      <c r="T5" s="2" t="n">
        <f aca="false">MAX(0.1,ROUNDUP(ROUND(R5,6)*10,0)/10)</f>
        <v>0.1</v>
      </c>
      <c r="U5" s="2" t="str">
        <f aca="false">IF(S5&lt;&gt;T5,"yes","no")</f>
        <v>no</v>
      </c>
      <c r="V5" s="2" t="str">
        <f aca="false">IF(R5&lt;0,"yes","no")</f>
        <v>no</v>
      </c>
      <c r="W5" s="2" t="s">
        <v>43</v>
      </c>
      <c r="X5" s="2"/>
    </row>
    <row r="6" customFormat="false" ht="15" hidden="false" customHeight="false" outlineLevel="0" collapsed="false">
      <c r="A6" s="2" t="n">
        <v>328</v>
      </c>
      <c r="B6" s="2" t="s">
        <v>52</v>
      </c>
      <c r="C6" s="2" t="s">
        <v>52</v>
      </c>
      <c r="D6" s="2" t="s">
        <v>38</v>
      </c>
      <c r="E6" s="2" t="s">
        <v>39</v>
      </c>
      <c r="F6" s="2" t="s">
        <v>53</v>
      </c>
      <c r="G6" s="2" t="n">
        <v>-0.94</v>
      </c>
      <c r="H6" s="2" t="n">
        <v>-86.957042</v>
      </c>
      <c r="I6" s="2" t="n">
        <v>20.732034</v>
      </c>
      <c r="J6" s="2" t="s">
        <v>41</v>
      </c>
      <c r="K6" s="2"/>
      <c r="L6" s="2" t="s">
        <v>42</v>
      </c>
      <c r="M6" s="2" t="n">
        <v>2021</v>
      </c>
      <c r="N6" s="4" t="n">
        <v>2021</v>
      </c>
      <c r="O6" s="2" t="n">
        <v>0.09225</v>
      </c>
      <c r="P6" s="2" t="n">
        <v>0.00955</v>
      </c>
      <c r="Q6" s="2" t="n">
        <v>143</v>
      </c>
      <c r="R6" s="2" t="n">
        <f aca="false">O6-(N6-1950)/1000</f>
        <v>0.02125</v>
      </c>
      <c r="S6" s="2" t="n">
        <f aca="false">ROUNDUP(ROUND(O6,6)*10,0)/10</f>
        <v>0.1</v>
      </c>
      <c r="T6" s="2" t="n">
        <f aca="false">MAX(0.1,ROUNDUP(ROUND(R6,6)*10,0)/10)</f>
        <v>0.1</v>
      </c>
      <c r="U6" s="2" t="str">
        <f aca="false">IF(S6&lt;&gt;T6,"yes","no")</f>
        <v>no</v>
      </c>
      <c r="V6" s="2" t="str">
        <f aca="false">IF(R6&lt;0,"yes","no")</f>
        <v>no</v>
      </c>
      <c r="W6" s="2" t="s">
        <v>43</v>
      </c>
      <c r="X6" s="2"/>
    </row>
    <row r="7" customFormat="false" ht="15" hidden="false" customHeight="false" outlineLevel="0" collapsed="false">
      <c r="A7" s="2" t="n">
        <v>329</v>
      </c>
      <c r="B7" s="2" t="s">
        <v>54</v>
      </c>
      <c r="C7" s="2" t="s">
        <v>54</v>
      </c>
      <c r="D7" s="2" t="s">
        <v>38</v>
      </c>
      <c r="E7" s="2" t="s">
        <v>39</v>
      </c>
      <c r="F7" s="2" t="s">
        <v>45</v>
      </c>
      <c r="G7" s="2" t="n">
        <v>-0.94</v>
      </c>
      <c r="H7" s="2" t="n">
        <v>-86.957042</v>
      </c>
      <c r="I7" s="2" t="n">
        <v>20.732034</v>
      </c>
      <c r="J7" s="2" t="s">
        <v>41</v>
      </c>
      <c r="K7" s="2"/>
      <c r="L7" s="2" t="s">
        <v>42</v>
      </c>
      <c r="M7" s="2" t="n">
        <v>2021</v>
      </c>
      <c r="N7" s="4" t="n">
        <v>2021</v>
      </c>
      <c r="O7" s="2" t="n">
        <v>0.10034</v>
      </c>
      <c r="P7" s="2" t="n">
        <v>0.00952</v>
      </c>
      <c r="Q7" s="2" t="n">
        <v>147</v>
      </c>
      <c r="R7" s="2" t="n">
        <f aca="false">O7-(N7-1950)/1000</f>
        <v>0.02934</v>
      </c>
      <c r="S7" s="2" t="n">
        <f aca="false">ROUNDUP(ROUND(O7,6)*10,0)/10</f>
        <v>0.2</v>
      </c>
      <c r="T7" s="2" t="n">
        <f aca="false">MAX(0.1,ROUNDUP(ROUND(R7,6)*10,0)/10)</f>
        <v>0.1</v>
      </c>
      <c r="U7" s="2" t="str">
        <f aca="false">IF(S7&lt;&gt;T7,"yes","no")</f>
        <v>yes</v>
      </c>
      <c r="V7" s="2" t="str">
        <f aca="false">IF(R7&lt;0,"yes","no")</f>
        <v>no</v>
      </c>
      <c r="W7" s="2" t="s">
        <v>43</v>
      </c>
      <c r="X7" s="2"/>
    </row>
    <row r="8" customFormat="false" ht="15" hidden="false" customHeight="false" outlineLevel="0" collapsed="false">
      <c r="A8" s="2" t="n">
        <v>330</v>
      </c>
      <c r="B8" s="2" t="s">
        <v>55</v>
      </c>
      <c r="C8" s="2" t="s">
        <v>55</v>
      </c>
      <c r="D8" s="2" t="s">
        <v>38</v>
      </c>
      <c r="E8" s="2" t="s">
        <v>39</v>
      </c>
      <c r="F8" s="2" t="s">
        <v>56</v>
      </c>
      <c r="G8" s="2" t="n">
        <v>-0.6</v>
      </c>
      <c r="H8" s="2" t="n">
        <v>-86.969582</v>
      </c>
      <c r="I8" s="2" t="n">
        <v>20.72016899</v>
      </c>
      <c r="J8" s="2" t="s">
        <v>41</v>
      </c>
      <c r="K8" s="2"/>
      <c r="L8" s="2" t="s">
        <v>42</v>
      </c>
      <c r="M8" s="2" t="n">
        <v>2021</v>
      </c>
      <c r="N8" s="4" t="n">
        <v>2021</v>
      </c>
      <c r="O8" s="2" t="n">
        <v>0.11059</v>
      </c>
      <c r="P8" s="2" t="n">
        <v>0.0095</v>
      </c>
      <c r="Q8" s="2" t="n">
        <v>150</v>
      </c>
      <c r="R8" s="2" t="n">
        <f aca="false">O8-(N8-1950)/1000</f>
        <v>0.03959</v>
      </c>
      <c r="S8" s="2" t="n">
        <f aca="false">ROUNDUP(ROUND(O8,6)*10,0)/10</f>
        <v>0.2</v>
      </c>
      <c r="T8" s="2" t="n">
        <f aca="false">MAX(0.1,ROUNDUP(ROUND(R8,6)*10,0)/10)</f>
        <v>0.1</v>
      </c>
      <c r="U8" s="2" t="str">
        <f aca="false">IF(S8&lt;&gt;T8,"yes","no")</f>
        <v>yes</v>
      </c>
      <c r="V8" s="2" t="str">
        <f aca="false">IF(R8&lt;0,"yes","no")</f>
        <v>no</v>
      </c>
      <c r="W8" s="2" t="s">
        <v>43</v>
      </c>
      <c r="X8" s="2"/>
    </row>
    <row r="9" customFormat="false" ht="15" hidden="false" customHeight="false" outlineLevel="0" collapsed="false">
      <c r="A9" s="2" t="n">
        <v>331</v>
      </c>
      <c r="B9" s="2" t="s">
        <v>57</v>
      </c>
      <c r="C9" s="2" t="s">
        <v>57</v>
      </c>
      <c r="D9" s="2" t="s">
        <v>38</v>
      </c>
      <c r="E9" s="2" t="s">
        <v>39</v>
      </c>
      <c r="F9" s="2" t="s">
        <v>58</v>
      </c>
      <c r="G9" s="2" t="n">
        <v>-4.51</v>
      </c>
      <c r="H9" s="2" t="n">
        <v>-86.965252</v>
      </c>
      <c r="I9" s="2" t="n">
        <v>20.722451</v>
      </c>
      <c r="J9" s="2" t="s">
        <v>41</v>
      </c>
      <c r="K9" s="2"/>
      <c r="L9" s="2" t="s">
        <v>42</v>
      </c>
      <c r="M9" s="2" t="n">
        <v>2023</v>
      </c>
      <c r="N9" s="4" t="n">
        <v>2021</v>
      </c>
      <c r="O9" s="2" t="n">
        <v>0.1295</v>
      </c>
      <c r="P9" s="2" t="n">
        <v>0.0103</v>
      </c>
      <c r="Q9" s="2" t="n">
        <v>147.1</v>
      </c>
      <c r="R9" s="2" t="n">
        <f aca="false">O9-(N9-1950)/1000</f>
        <v>0.0585</v>
      </c>
      <c r="S9" s="2" t="n">
        <f aca="false">ROUNDUP(ROUND(O9,6)*10,0)/10</f>
        <v>0.2</v>
      </c>
      <c r="T9" s="2" t="n">
        <f aca="false">MAX(0.1,ROUNDUP(ROUND(R9,6)*10,0)/10)</f>
        <v>0.1</v>
      </c>
      <c r="U9" s="2" t="str">
        <f aca="false">IF(S9&lt;&gt;T9,"yes","no")</f>
        <v>yes</v>
      </c>
      <c r="V9" s="2" t="str">
        <f aca="false">IF(R9&lt;0,"yes","no")</f>
        <v>no</v>
      </c>
      <c r="W9" s="2" t="s">
        <v>43</v>
      </c>
      <c r="X9" s="2" t="s">
        <v>59</v>
      </c>
    </row>
    <row r="10" customFormat="false" ht="15" hidden="false" customHeight="false" outlineLevel="0" collapsed="false">
      <c r="A10" s="2" t="n">
        <v>332</v>
      </c>
      <c r="B10" s="2" t="s">
        <v>60</v>
      </c>
      <c r="C10" s="2" t="s">
        <v>60</v>
      </c>
      <c r="D10" s="2" t="s">
        <v>38</v>
      </c>
      <c r="E10" s="2" t="s">
        <v>39</v>
      </c>
      <c r="F10" s="2" t="s">
        <v>61</v>
      </c>
      <c r="G10" s="2" t="n">
        <v>-0.7</v>
      </c>
      <c r="H10" s="2" t="n">
        <v>-86.97627674</v>
      </c>
      <c r="I10" s="2" t="n">
        <v>20.71467121</v>
      </c>
      <c r="J10" s="2" t="s">
        <v>41</v>
      </c>
      <c r="K10" s="2"/>
      <c r="L10" s="2" t="s">
        <v>42</v>
      </c>
      <c r="M10" s="2" t="n">
        <v>2021</v>
      </c>
      <c r="N10" s="4" t="n">
        <v>2021</v>
      </c>
      <c r="O10" s="2" t="n">
        <v>0.1367</v>
      </c>
      <c r="P10" s="2" t="n">
        <v>0.0048</v>
      </c>
      <c r="Q10" s="2" t="n">
        <v>141.1</v>
      </c>
      <c r="R10" s="2" t="n">
        <f aca="false">O10-(N10-1950)/1000</f>
        <v>0.0657</v>
      </c>
      <c r="S10" s="2" t="n">
        <f aca="false">ROUNDUP(ROUND(O10,6)*10,0)/10</f>
        <v>0.2</v>
      </c>
      <c r="T10" s="2" t="n">
        <f aca="false">MAX(0.1,ROUNDUP(ROUND(R10,6)*10,0)/10)</f>
        <v>0.1</v>
      </c>
      <c r="U10" s="2" t="str">
        <f aca="false">IF(S10&lt;&gt;T10,"yes","no")</f>
        <v>yes</v>
      </c>
      <c r="V10" s="2" t="str">
        <f aca="false">IF(R10&lt;0,"yes","no")</f>
        <v>no</v>
      </c>
      <c r="W10" s="2" t="s">
        <v>43</v>
      </c>
      <c r="X10" s="2"/>
    </row>
    <row r="11" customFormat="false" ht="15" hidden="false" customHeight="false" outlineLevel="0" collapsed="false">
      <c r="A11" s="2" t="n">
        <v>333</v>
      </c>
      <c r="B11" s="2" t="s">
        <v>62</v>
      </c>
      <c r="C11" s="2" t="s">
        <v>62</v>
      </c>
      <c r="D11" s="2" t="s">
        <v>38</v>
      </c>
      <c r="E11" s="2" t="s">
        <v>39</v>
      </c>
      <c r="F11" s="2" t="s">
        <v>63</v>
      </c>
      <c r="G11" s="2" t="n">
        <v>-1.55</v>
      </c>
      <c r="H11" s="2" t="n">
        <v>-86.9637319999999</v>
      </c>
      <c r="I11" s="2" t="n">
        <v>20.724375</v>
      </c>
      <c r="J11" s="2" t="s">
        <v>41</v>
      </c>
      <c r="K11" s="2"/>
      <c r="L11" s="2" t="s">
        <v>42</v>
      </c>
      <c r="M11" s="2" t="n">
        <v>2023</v>
      </c>
      <c r="N11" s="4" t="n">
        <v>2021</v>
      </c>
      <c r="O11" s="2" t="n">
        <v>0.1414</v>
      </c>
      <c r="P11" s="2" t="n">
        <v>0.0097</v>
      </c>
      <c r="Q11" s="2" t="n">
        <v>145.1</v>
      </c>
      <c r="R11" s="2" t="n">
        <f aca="false">O11-(N11-1950)/1000</f>
        <v>0.0704</v>
      </c>
      <c r="S11" s="2" t="n">
        <f aca="false">ROUNDUP(ROUND(O11,6)*10,0)/10</f>
        <v>0.2</v>
      </c>
      <c r="T11" s="2" t="n">
        <f aca="false">MAX(0.1,ROUNDUP(ROUND(R11,6)*10,0)/10)</f>
        <v>0.1</v>
      </c>
      <c r="U11" s="2" t="str">
        <f aca="false">IF(S11&lt;&gt;T11,"yes","no")</f>
        <v>yes</v>
      </c>
      <c r="V11" s="2" t="str">
        <f aca="false">IF(R11&lt;0,"yes","no")</f>
        <v>no</v>
      </c>
      <c r="W11" s="2" t="s">
        <v>43</v>
      </c>
      <c r="X11" s="2" t="s">
        <v>59</v>
      </c>
    </row>
    <row r="12" customFormat="false" ht="15" hidden="false" customHeight="false" outlineLevel="0" collapsed="false">
      <c r="A12" s="2" t="n">
        <v>334</v>
      </c>
      <c r="B12" s="2" t="s">
        <v>64</v>
      </c>
      <c r="C12" s="2" t="s">
        <v>64</v>
      </c>
      <c r="D12" s="2" t="s">
        <v>38</v>
      </c>
      <c r="E12" s="2" t="s">
        <v>39</v>
      </c>
      <c r="F12" s="2" t="s">
        <v>65</v>
      </c>
      <c r="G12" s="2" t="n">
        <v>-2.16</v>
      </c>
      <c r="H12" s="2" t="n">
        <v>-86.95673103</v>
      </c>
      <c r="I12" s="2" t="n">
        <v>20.73178003</v>
      </c>
      <c r="J12" s="2" t="s">
        <v>41</v>
      </c>
      <c r="K12" s="2"/>
      <c r="L12" s="2" t="s">
        <v>42</v>
      </c>
      <c r="M12" s="2" t="n">
        <v>2021</v>
      </c>
      <c r="N12" s="4" t="n">
        <v>2021</v>
      </c>
      <c r="O12" s="2" t="n">
        <v>0.14721</v>
      </c>
      <c r="P12" s="2" t="n">
        <v>0.00953</v>
      </c>
      <c r="Q12" s="2" t="n">
        <v>150.1</v>
      </c>
      <c r="R12" s="2" t="n">
        <f aca="false">O12-(N12-1950)/1000</f>
        <v>0.07621</v>
      </c>
      <c r="S12" s="2" t="n">
        <f aca="false">ROUNDUP(ROUND(O12,6)*10,0)/10</f>
        <v>0.2</v>
      </c>
      <c r="T12" s="2" t="n">
        <f aca="false">MAX(0.1,ROUNDUP(ROUND(R12,6)*10,0)/10)</f>
        <v>0.1</v>
      </c>
      <c r="U12" s="2" t="str">
        <f aca="false">IF(S12&lt;&gt;T12,"yes","no")</f>
        <v>yes</v>
      </c>
      <c r="V12" s="2" t="str">
        <f aca="false">IF(R12&lt;0,"yes","no")</f>
        <v>no</v>
      </c>
      <c r="W12" s="2" t="s">
        <v>43</v>
      </c>
      <c r="X12" s="2"/>
    </row>
    <row r="13" customFormat="false" ht="15" hidden="false" customHeight="false" outlineLevel="0" collapsed="false">
      <c r="A13" s="2" t="n">
        <v>335</v>
      </c>
      <c r="B13" s="2" t="s">
        <v>66</v>
      </c>
      <c r="C13" s="2" t="s">
        <v>66</v>
      </c>
      <c r="D13" s="2" t="s">
        <v>38</v>
      </c>
      <c r="E13" s="2" t="s">
        <v>39</v>
      </c>
      <c r="F13" s="2" t="s">
        <v>45</v>
      </c>
      <c r="G13" s="2" t="n">
        <v>-0.94</v>
      </c>
      <c r="H13" s="2" t="n">
        <v>-86.957042</v>
      </c>
      <c r="I13" s="2" t="n">
        <v>20.732034</v>
      </c>
      <c r="J13" s="2" t="s">
        <v>41</v>
      </c>
      <c r="K13" s="2"/>
      <c r="L13" s="2" t="s">
        <v>42</v>
      </c>
      <c r="M13" s="2" t="n">
        <v>2021</v>
      </c>
      <c r="N13" s="4" t="n">
        <v>2021</v>
      </c>
      <c r="O13" s="2" t="n">
        <v>0.15052</v>
      </c>
      <c r="P13" s="2" t="n">
        <v>0.00958</v>
      </c>
      <c r="Q13" s="2" t="n">
        <v>140.1</v>
      </c>
      <c r="R13" s="2" t="n">
        <f aca="false">O13-(N13-1950)/1000</f>
        <v>0.07952</v>
      </c>
      <c r="S13" s="2" t="n">
        <f aca="false">ROUNDUP(ROUND(O13,6)*10,0)/10</f>
        <v>0.2</v>
      </c>
      <c r="T13" s="2" t="n">
        <f aca="false">MAX(0.1,ROUNDUP(ROUND(R13,6)*10,0)/10)</f>
        <v>0.1</v>
      </c>
      <c r="U13" s="2" t="str">
        <f aca="false">IF(S13&lt;&gt;T13,"yes","no")</f>
        <v>yes</v>
      </c>
      <c r="V13" s="2" t="str">
        <f aca="false">IF(R13&lt;0,"yes","no")</f>
        <v>no</v>
      </c>
      <c r="W13" s="2" t="s">
        <v>43</v>
      </c>
      <c r="X13" s="2"/>
    </row>
    <row r="14" customFormat="false" ht="15" hidden="false" customHeight="false" outlineLevel="0" collapsed="false">
      <c r="A14" s="2" t="n">
        <v>336</v>
      </c>
      <c r="B14" s="2" t="s">
        <v>67</v>
      </c>
      <c r="C14" s="2" t="s">
        <v>67</v>
      </c>
      <c r="D14" s="2" t="s">
        <v>38</v>
      </c>
      <c r="E14" s="2" t="s">
        <v>39</v>
      </c>
      <c r="F14" s="2" t="s">
        <v>63</v>
      </c>
      <c r="G14" s="2" t="n">
        <v>-1.55</v>
      </c>
      <c r="H14" s="2" t="n">
        <v>-86.9637319999999</v>
      </c>
      <c r="I14" s="2" t="n">
        <v>20.7243749999999</v>
      </c>
      <c r="J14" s="2" t="s">
        <v>41</v>
      </c>
      <c r="K14" s="2"/>
      <c r="L14" s="2" t="s">
        <v>42</v>
      </c>
      <c r="M14" s="2" t="n">
        <v>2023</v>
      </c>
      <c r="N14" s="4" t="n">
        <v>2021</v>
      </c>
      <c r="O14" s="2" t="n">
        <v>0.1663</v>
      </c>
      <c r="P14" s="2" t="n">
        <v>0.0187</v>
      </c>
      <c r="Q14" s="2" t="n">
        <v>144.1</v>
      </c>
      <c r="R14" s="2" t="n">
        <f aca="false">O14-(N14-1950)/1000</f>
        <v>0.0953</v>
      </c>
      <c r="S14" s="2" t="n">
        <f aca="false">ROUNDUP(ROUND(O14,6)*10,0)/10</f>
        <v>0.2</v>
      </c>
      <c r="T14" s="2" t="n">
        <f aca="false">MAX(0.1,ROUNDUP(ROUND(R14,6)*10,0)/10)</f>
        <v>0.1</v>
      </c>
      <c r="U14" s="2" t="str">
        <f aca="false">IF(S14&lt;&gt;T14,"yes","no")</f>
        <v>yes</v>
      </c>
      <c r="V14" s="2" t="str">
        <f aca="false">IF(R14&lt;0,"yes","no")</f>
        <v>no</v>
      </c>
      <c r="W14" s="2" t="s">
        <v>43</v>
      </c>
      <c r="X14" s="2" t="s">
        <v>59</v>
      </c>
    </row>
    <row r="15" customFormat="false" ht="15" hidden="false" customHeight="false" outlineLevel="0" collapsed="false">
      <c r="A15" s="2" t="n">
        <v>337</v>
      </c>
      <c r="B15" s="2" t="s">
        <v>68</v>
      </c>
      <c r="C15" s="2" t="s">
        <v>68</v>
      </c>
      <c r="D15" s="2" t="s">
        <v>47</v>
      </c>
      <c r="E15" s="2" t="s">
        <v>48</v>
      </c>
      <c r="F15" s="2" t="s">
        <v>69</v>
      </c>
      <c r="G15" s="2" t="n">
        <v>-1.7</v>
      </c>
      <c r="H15" s="2" t="n">
        <v>-86.986565</v>
      </c>
      <c r="I15" s="2" t="n">
        <v>20.706087</v>
      </c>
      <c r="J15" s="2" t="s">
        <v>70</v>
      </c>
      <c r="K15" s="2"/>
      <c r="L15" s="2" t="s">
        <v>42</v>
      </c>
      <c r="M15" s="2" t="n">
        <v>2023</v>
      </c>
      <c r="N15" s="4" t="n">
        <v>2021</v>
      </c>
      <c r="O15" s="2" t="n">
        <v>0.1692</v>
      </c>
      <c r="P15" s="2" t="n">
        <v>0.0098</v>
      </c>
      <c r="Q15" s="2" t="n">
        <v>146.1</v>
      </c>
      <c r="R15" s="2" t="n">
        <f aca="false">O15-(N15-1950)/1000</f>
        <v>0.0982</v>
      </c>
      <c r="S15" s="2" t="n">
        <f aca="false">ROUNDUP(ROUND(O15,6)*10,0)/10</f>
        <v>0.2</v>
      </c>
      <c r="T15" s="2" t="n">
        <f aca="false">MAX(0.1,ROUNDUP(ROUND(R15,6)*10,0)/10)</f>
        <v>0.1</v>
      </c>
      <c r="U15" s="2" t="str">
        <f aca="false">IF(S15&lt;&gt;T15,"yes","no")</f>
        <v>yes</v>
      </c>
      <c r="V15" s="2" t="str">
        <f aca="false">IF(R15&lt;0,"yes","no")</f>
        <v>no</v>
      </c>
      <c r="W15" s="2" t="s">
        <v>71</v>
      </c>
      <c r="X15" s="5" t="s">
        <v>72</v>
      </c>
    </row>
    <row r="16" customFormat="false" ht="15" hidden="false" customHeight="false" outlineLevel="0" collapsed="false">
      <c r="A16" s="2" t="n">
        <v>338</v>
      </c>
      <c r="B16" s="2" t="s">
        <v>73</v>
      </c>
      <c r="C16" s="2" t="s">
        <v>73</v>
      </c>
      <c r="D16" s="2" t="s">
        <v>38</v>
      </c>
      <c r="E16" s="2" t="s">
        <v>39</v>
      </c>
      <c r="F16" s="2" t="s">
        <v>74</v>
      </c>
      <c r="G16" s="2" t="n">
        <v>-1.37</v>
      </c>
      <c r="H16" s="2" t="n">
        <v>-86.9619915949962</v>
      </c>
      <c r="I16" s="2" t="n">
        <v>20.7261806082677</v>
      </c>
      <c r="J16" s="2" t="s">
        <v>75</v>
      </c>
      <c r="K16" s="2"/>
      <c r="L16" s="2" t="s">
        <v>42</v>
      </c>
      <c r="M16" s="2" t="n">
        <v>2023</v>
      </c>
      <c r="N16" s="4" t="n">
        <v>2021</v>
      </c>
      <c r="O16" s="2" t="n">
        <v>0.1693</v>
      </c>
      <c r="P16" s="2" t="n">
        <v>0.0021</v>
      </c>
      <c r="Q16" s="2" t="n">
        <v>147.1</v>
      </c>
      <c r="R16" s="2" t="n">
        <f aca="false">O16-(N16-1950)/1000</f>
        <v>0.0983</v>
      </c>
      <c r="S16" s="2" t="n">
        <f aca="false">ROUNDUP(ROUND(O16,6)*10,0)/10</f>
        <v>0.2</v>
      </c>
      <c r="T16" s="2" t="n">
        <f aca="false">MAX(0.1,ROUNDUP(ROUND(R16,6)*10,0)/10)</f>
        <v>0.1</v>
      </c>
      <c r="U16" s="2" t="str">
        <f aca="false">IF(S16&lt;&gt;T16,"yes","no")</f>
        <v>yes</v>
      </c>
      <c r="V16" s="2" t="str">
        <f aca="false">IF(R16&lt;0,"yes","no")</f>
        <v>no</v>
      </c>
      <c r="W16" s="2" t="s">
        <v>43</v>
      </c>
      <c r="X16" s="2" t="s">
        <v>59</v>
      </c>
    </row>
    <row r="17" customFormat="false" ht="15" hidden="false" customHeight="false" outlineLevel="0" collapsed="false">
      <c r="A17" s="2" t="n">
        <v>339</v>
      </c>
      <c r="B17" s="2" t="s">
        <v>76</v>
      </c>
      <c r="C17" s="2" t="s">
        <v>76</v>
      </c>
      <c r="D17" s="2" t="s">
        <v>38</v>
      </c>
      <c r="E17" s="2" t="s">
        <v>39</v>
      </c>
      <c r="F17" s="2" t="s">
        <v>45</v>
      </c>
      <c r="G17" s="2" t="n">
        <v>-0.94</v>
      </c>
      <c r="H17" s="2" t="n">
        <v>-86.957042</v>
      </c>
      <c r="I17" s="2" t="n">
        <v>20.732034</v>
      </c>
      <c r="J17" s="2" t="s">
        <v>41</v>
      </c>
      <c r="K17" s="2"/>
      <c r="L17" s="2" t="s">
        <v>42</v>
      </c>
      <c r="M17" s="2" t="n">
        <v>2021</v>
      </c>
      <c r="N17" s="4" t="n">
        <v>2021</v>
      </c>
      <c r="O17" s="2" t="n">
        <v>0.18393</v>
      </c>
      <c r="P17" s="2" t="n">
        <v>0.00955</v>
      </c>
      <c r="Q17" s="2" t="n">
        <v>149.1</v>
      </c>
      <c r="R17" s="2" t="n">
        <f aca="false">O17-(N17-1950)/1000</f>
        <v>0.11293</v>
      </c>
      <c r="S17" s="2" t="n">
        <f aca="false">ROUNDUP(ROUND(O17,6)*10,0)/10</f>
        <v>0.2</v>
      </c>
      <c r="T17" s="2" t="n">
        <f aca="false">MAX(0.1,ROUNDUP(ROUND(R17,6)*10,0)/10)</f>
        <v>0.2</v>
      </c>
      <c r="U17" s="2" t="str">
        <f aca="false">IF(S17&lt;&gt;T17,"yes","no")</f>
        <v>no</v>
      </c>
      <c r="V17" s="2" t="str">
        <f aca="false">IF(R17&lt;0,"yes","no")</f>
        <v>no</v>
      </c>
      <c r="W17" s="2" t="s">
        <v>43</v>
      </c>
      <c r="X17" s="2"/>
    </row>
    <row r="18" customFormat="false" ht="15" hidden="false" customHeight="false" outlineLevel="0" collapsed="false">
      <c r="A18" s="2" t="n">
        <v>340</v>
      </c>
      <c r="B18" s="2" t="s">
        <v>77</v>
      </c>
      <c r="C18" s="2" t="s">
        <v>77</v>
      </c>
      <c r="D18" s="2" t="s">
        <v>38</v>
      </c>
      <c r="E18" s="2" t="s">
        <v>39</v>
      </c>
      <c r="F18" s="2" t="s">
        <v>69</v>
      </c>
      <c r="G18" s="2" t="n">
        <v>-1.7</v>
      </c>
      <c r="H18" s="2" t="n">
        <v>-86.986565</v>
      </c>
      <c r="I18" s="2" t="n">
        <v>20.706087</v>
      </c>
      <c r="J18" s="2" t="s">
        <v>41</v>
      </c>
      <c r="K18" s="2"/>
      <c r="L18" s="2" t="s">
        <v>42</v>
      </c>
      <c r="M18" s="2" t="n">
        <v>2023</v>
      </c>
      <c r="N18" s="4" t="n">
        <v>2021</v>
      </c>
      <c r="O18" s="2" t="n">
        <v>0.2172</v>
      </c>
      <c r="P18" s="2" t="n">
        <v>0.0157</v>
      </c>
      <c r="Q18" s="2" t="n">
        <v>145.1</v>
      </c>
      <c r="R18" s="2" t="n">
        <f aca="false">O18-(N18-1950)/1000</f>
        <v>0.1462</v>
      </c>
      <c r="S18" s="2" t="n">
        <f aca="false">ROUNDUP(ROUND(O18,6)*10,0)/10</f>
        <v>0.3</v>
      </c>
      <c r="T18" s="2" t="n">
        <f aca="false">MAX(0.1,ROUNDUP(ROUND(R18,6)*10,0)/10)</f>
        <v>0.2</v>
      </c>
      <c r="U18" s="2" t="str">
        <f aca="false">IF(S18&lt;&gt;T18,"yes","no")</f>
        <v>yes</v>
      </c>
      <c r="V18" s="2" t="str">
        <f aca="false">IF(R18&lt;0,"yes","no")</f>
        <v>no</v>
      </c>
      <c r="W18" s="2" t="s">
        <v>71</v>
      </c>
      <c r="X18" s="5" t="s">
        <v>72</v>
      </c>
    </row>
    <row r="19" customFormat="false" ht="15" hidden="false" customHeight="false" outlineLevel="0" collapsed="false">
      <c r="A19" s="2" t="n">
        <v>341</v>
      </c>
      <c r="B19" s="2" t="s">
        <v>78</v>
      </c>
      <c r="C19" s="2" t="s">
        <v>78</v>
      </c>
      <c r="D19" s="2" t="s">
        <v>38</v>
      </c>
      <c r="E19" s="2" t="s">
        <v>39</v>
      </c>
      <c r="F19" s="2" t="s">
        <v>79</v>
      </c>
      <c r="G19" s="2" t="n">
        <v>-0.15</v>
      </c>
      <c r="H19" s="2" t="n">
        <v>-86.96077497</v>
      </c>
      <c r="I19" s="2" t="n">
        <v>20.72792896</v>
      </c>
      <c r="J19" s="2" t="s">
        <v>41</v>
      </c>
      <c r="K19" s="2"/>
      <c r="L19" s="2" t="s">
        <v>42</v>
      </c>
      <c r="M19" s="2" t="n">
        <v>2021</v>
      </c>
      <c r="N19" s="4" t="n">
        <v>2021</v>
      </c>
      <c r="O19" s="2" t="n">
        <v>0.21768</v>
      </c>
      <c r="P19" s="2" t="n">
        <v>0.00972</v>
      </c>
      <c r="Q19" s="2" t="n">
        <v>146.1</v>
      </c>
      <c r="R19" s="2" t="n">
        <f aca="false">O19-(N19-1950)/1000</f>
        <v>0.14668</v>
      </c>
      <c r="S19" s="2" t="n">
        <f aca="false">ROUNDUP(ROUND(O19,6)*10,0)/10</f>
        <v>0.3</v>
      </c>
      <c r="T19" s="2" t="n">
        <f aca="false">MAX(0.1,ROUNDUP(ROUND(R19,6)*10,0)/10)</f>
        <v>0.2</v>
      </c>
      <c r="U19" s="2" t="str">
        <f aca="false">IF(S19&lt;&gt;T19,"yes","no")</f>
        <v>yes</v>
      </c>
      <c r="V19" s="2" t="str">
        <f aca="false">IF(R19&lt;0,"yes","no")</f>
        <v>no</v>
      </c>
      <c r="W19" s="2" t="s">
        <v>43</v>
      </c>
      <c r="X19" s="2"/>
    </row>
    <row r="20" customFormat="false" ht="15" hidden="false" customHeight="false" outlineLevel="0" collapsed="false">
      <c r="A20" s="2" t="n">
        <v>342</v>
      </c>
      <c r="B20" s="2" t="s">
        <v>77</v>
      </c>
      <c r="C20" s="2" t="s">
        <v>77</v>
      </c>
      <c r="D20" s="2" t="s">
        <v>38</v>
      </c>
      <c r="E20" s="2" t="s">
        <v>39</v>
      </c>
      <c r="F20" s="2" t="s">
        <v>69</v>
      </c>
      <c r="G20" s="2" t="n">
        <v>-1.7</v>
      </c>
      <c r="H20" s="2" t="n">
        <v>-86.986565</v>
      </c>
      <c r="I20" s="2" t="n">
        <v>20.706087</v>
      </c>
      <c r="J20" s="2" t="s">
        <v>41</v>
      </c>
      <c r="K20" s="2"/>
      <c r="L20" s="2" t="s">
        <v>42</v>
      </c>
      <c r="M20" s="2" t="n">
        <v>2023</v>
      </c>
      <c r="N20" s="4" t="n">
        <v>2021</v>
      </c>
      <c r="O20" s="2" t="n">
        <v>0.2453</v>
      </c>
      <c r="P20" s="2" t="n">
        <v>0.0315</v>
      </c>
      <c r="Q20" s="2" t="n">
        <v>145.1</v>
      </c>
      <c r="R20" s="2" t="n">
        <f aca="false">O20-(N20-1950)/1000</f>
        <v>0.1743</v>
      </c>
      <c r="S20" s="2" t="n">
        <f aca="false">ROUNDUP(ROUND(O20,6)*10,0)/10</f>
        <v>0.3</v>
      </c>
      <c r="T20" s="2" t="n">
        <f aca="false">MAX(0.1,ROUNDUP(ROUND(R20,6)*10,0)/10)</f>
        <v>0.2</v>
      </c>
      <c r="U20" s="2" t="str">
        <f aca="false">IF(S20&lt;&gt;T20,"yes","no")</f>
        <v>yes</v>
      </c>
      <c r="V20" s="2" t="str">
        <f aca="false">IF(R20&lt;0,"yes","no")</f>
        <v>no</v>
      </c>
      <c r="W20" s="2" t="s">
        <v>71</v>
      </c>
      <c r="X20" s="5" t="s">
        <v>72</v>
      </c>
    </row>
    <row r="21" customFormat="false" ht="15" hidden="false" customHeight="false" outlineLevel="0" collapsed="false">
      <c r="A21" s="2" t="n">
        <v>343</v>
      </c>
      <c r="B21" s="2" t="s">
        <v>80</v>
      </c>
      <c r="C21" s="2" t="s">
        <v>80</v>
      </c>
      <c r="D21" s="2" t="s">
        <v>38</v>
      </c>
      <c r="E21" s="2" t="s">
        <v>39</v>
      </c>
      <c r="F21" s="2" t="s">
        <v>79</v>
      </c>
      <c r="G21" s="2" t="n">
        <v>-0.97</v>
      </c>
      <c r="H21" s="2" t="n">
        <v>-86.96077497</v>
      </c>
      <c r="I21" s="2" t="n">
        <v>20.72792896</v>
      </c>
      <c r="J21" s="2" t="s">
        <v>41</v>
      </c>
      <c r="K21" s="2"/>
      <c r="L21" s="2" t="s">
        <v>42</v>
      </c>
      <c r="M21" s="2" t="n">
        <v>2021</v>
      </c>
      <c r="N21" s="4" t="n">
        <v>2021</v>
      </c>
      <c r="O21" s="2" t="n">
        <v>0.275</v>
      </c>
      <c r="P21" s="2" t="n">
        <v>0.00953</v>
      </c>
      <c r="Q21" s="2" t="n">
        <v>148.1</v>
      </c>
      <c r="R21" s="2" t="n">
        <f aca="false">O21-(N21-1950)/1000</f>
        <v>0.204</v>
      </c>
      <c r="S21" s="2" t="n">
        <f aca="false">ROUNDUP(ROUND(O21,6)*10,0)/10</f>
        <v>0.3</v>
      </c>
      <c r="T21" s="2" t="n">
        <f aca="false">MAX(0.1,ROUNDUP(ROUND(R21,6)*10,0)/10)</f>
        <v>0.3</v>
      </c>
      <c r="U21" s="2" t="str">
        <f aca="false">IF(S21&lt;&gt;T21,"yes","no")</f>
        <v>no</v>
      </c>
      <c r="V21" s="2" t="str">
        <f aca="false">IF(R21&lt;0,"yes","no")</f>
        <v>no</v>
      </c>
      <c r="W21" s="2" t="s">
        <v>43</v>
      </c>
      <c r="X21" s="2"/>
    </row>
    <row r="22" customFormat="false" ht="15" hidden="false" customHeight="false" outlineLevel="0" collapsed="false">
      <c r="A22" s="2" t="n">
        <v>344</v>
      </c>
      <c r="B22" s="2" t="s">
        <v>81</v>
      </c>
      <c r="C22" s="2" t="s">
        <v>82</v>
      </c>
      <c r="D22" s="2" t="s">
        <v>47</v>
      </c>
      <c r="E22" s="2" t="s">
        <v>48</v>
      </c>
      <c r="F22" s="2" t="s">
        <v>83</v>
      </c>
      <c r="G22" s="2" t="n">
        <v>-1.83</v>
      </c>
      <c r="H22" s="2" t="n">
        <v>-86.978011</v>
      </c>
      <c r="I22" s="2" t="n">
        <v>20.712905</v>
      </c>
      <c r="J22" s="2" t="s">
        <v>84</v>
      </c>
      <c r="K22" s="2"/>
      <c r="L22" s="2" t="s">
        <v>42</v>
      </c>
      <c r="M22" s="2" t="n">
        <v>2023</v>
      </c>
      <c r="N22" s="4" t="n">
        <v>2021</v>
      </c>
      <c r="O22" s="2" t="n">
        <v>0.3028</v>
      </c>
      <c r="P22" s="2" t="n">
        <v>0.0018</v>
      </c>
      <c r="Q22" s="2" t="n">
        <v>148.1</v>
      </c>
      <c r="R22" s="2" t="n">
        <f aca="false">O22-(N22-1950)/1000</f>
        <v>0.2318</v>
      </c>
      <c r="S22" s="2" t="n">
        <f aca="false">ROUNDUP(ROUND(O22,6)*10,0)/10</f>
        <v>0.4</v>
      </c>
      <c r="T22" s="2" t="n">
        <f aca="false">MAX(0.1,ROUNDUP(ROUND(R22,6)*10,0)/10)</f>
        <v>0.3</v>
      </c>
      <c r="U22" s="2" t="str">
        <f aca="false">IF(S22&lt;&gt;T22,"yes","no")</f>
        <v>yes</v>
      </c>
      <c r="V22" s="2" t="str">
        <f aca="false">IF(R22&lt;0,"yes","no")</f>
        <v>no</v>
      </c>
      <c r="W22" s="2" t="s">
        <v>43</v>
      </c>
      <c r="X22" s="5" t="s">
        <v>85</v>
      </c>
    </row>
    <row r="23" customFormat="false" ht="15" hidden="false" customHeight="false" outlineLevel="0" collapsed="false">
      <c r="A23" s="2" t="n">
        <v>345</v>
      </c>
      <c r="B23" s="2" t="s">
        <v>86</v>
      </c>
      <c r="C23" s="2" t="s">
        <v>86</v>
      </c>
      <c r="D23" s="2" t="s">
        <v>38</v>
      </c>
      <c r="E23" s="2" t="s">
        <v>39</v>
      </c>
      <c r="F23" s="2" t="s">
        <v>40</v>
      </c>
      <c r="G23" s="2" t="n">
        <v>-0.83</v>
      </c>
      <c r="H23" s="2" t="n">
        <v>-86.96920901</v>
      </c>
      <c r="I23" s="2" t="n">
        <v>20.71987697</v>
      </c>
      <c r="J23" s="2" t="s">
        <v>41</v>
      </c>
      <c r="K23" s="2"/>
      <c r="L23" s="2" t="s">
        <v>42</v>
      </c>
      <c r="M23" s="2" t="n">
        <v>2021</v>
      </c>
      <c r="N23" s="4" t="n">
        <v>2021</v>
      </c>
      <c r="O23" s="2" t="n">
        <v>0.32783</v>
      </c>
      <c r="P23" s="2" t="n">
        <v>0.00958</v>
      </c>
      <c r="Q23" s="2" t="n">
        <v>146.1</v>
      </c>
      <c r="R23" s="2" t="n">
        <f aca="false">O23-(N23-1950)/1000</f>
        <v>0.25683</v>
      </c>
      <c r="S23" s="2" t="n">
        <f aca="false">ROUNDUP(ROUND(O23,6)*10,0)/10</f>
        <v>0.4</v>
      </c>
      <c r="T23" s="2" t="n">
        <f aca="false">MAX(0.1,ROUNDUP(ROUND(R23,6)*10,0)/10)</f>
        <v>0.3</v>
      </c>
      <c r="U23" s="2" t="str">
        <f aca="false">IF(S23&lt;&gt;T23,"yes","no")</f>
        <v>yes</v>
      </c>
      <c r="V23" s="2" t="str">
        <f aca="false">IF(R23&lt;0,"yes","no")</f>
        <v>no</v>
      </c>
      <c r="W23" s="2" t="s">
        <v>43</v>
      </c>
      <c r="X23" s="2"/>
    </row>
    <row r="24" customFormat="false" ht="15" hidden="false" customHeight="false" outlineLevel="0" collapsed="false">
      <c r="A24" s="2" t="n">
        <v>346</v>
      </c>
      <c r="B24" s="2" t="s">
        <v>87</v>
      </c>
      <c r="C24" s="2" t="s">
        <v>87</v>
      </c>
      <c r="D24" s="2" t="s">
        <v>47</v>
      </c>
      <c r="E24" s="2" t="s">
        <v>48</v>
      </c>
      <c r="F24" s="2" t="s">
        <v>88</v>
      </c>
      <c r="G24" s="2" t="n">
        <v>-2.26</v>
      </c>
      <c r="H24" s="2" t="n">
        <v>-86.97018701</v>
      </c>
      <c r="I24" s="2" t="n">
        <v>20.71939199</v>
      </c>
      <c r="J24" s="2" t="s">
        <v>89</v>
      </c>
      <c r="K24" s="2"/>
      <c r="L24" s="2" t="s">
        <v>42</v>
      </c>
      <c r="M24" s="2" t="n">
        <v>2021</v>
      </c>
      <c r="N24" s="4" t="n">
        <v>2021</v>
      </c>
      <c r="O24" s="2" t="n">
        <v>0.3543</v>
      </c>
      <c r="P24" s="2" t="n">
        <v>0.01918</v>
      </c>
      <c r="Q24" s="2" t="n">
        <v>148.1</v>
      </c>
      <c r="R24" s="2" t="n">
        <f aca="false">O24-(N24-1950)/1000</f>
        <v>0.2833</v>
      </c>
      <c r="S24" s="2" t="n">
        <f aca="false">ROUNDUP(ROUND(O24,6)*10,0)/10</f>
        <v>0.4</v>
      </c>
      <c r="T24" s="2" t="n">
        <f aca="false">MAX(0.1,ROUNDUP(ROUND(R24,6)*10,0)/10)</f>
        <v>0.3</v>
      </c>
      <c r="U24" s="2" t="str">
        <f aca="false">IF(S24&lt;&gt;T24,"yes","no")</f>
        <v>yes</v>
      </c>
      <c r="V24" s="2" t="str">
        <f aca="false">IF(R24&lt;0,"yes","no")</f>
        <v>no</v>
      </c>
      <c r="W24" s="2" t="s">
        <v>43</v>
      </c>
      <c r="X24" s="2"/>
    </row>
    <row r="25" customFormat="false" ht="15" hidden="false" customHeight="false" outlineLevel="0" collapsed="false">
      <c r="A25" s="2" t="n">
        <v>347</v>
      </c>
      <c r="B25" s="2" t="s">
        <v>90</v>
      </c>
      <c r="C25" s="2" t="s">
        <v>90</v>
      </c>
      <c r="D25" s="2" t="s">
        <v>38</v>
      </c>
      <c r="E25" s="2" t="s">
        <v>39</v>
      </c>
      <c r="F25" s="2" t="s">
        <v>90</v>
      </c>
      <c r="G25" s="2" t="n">
        <v>-1.7</v>
      </c>
      <c r="H25" s="2" t="n">
        <v>-86.98130602</v>
      </c>
      <c r="I25" s="2" t="n">
        <v>20.71005799</v>
      </c>
      <c r="J25" s="2" t="s">
        <v>41</v>
      </c>
      <c r="K25" s="2"/>
      <c r="L25" s="2" t="s">
        <v>42</v>
      </c>
      <c r="M25" s="2" t="n">
        <v>2021</v>
      </c>
      <c r="N25" s="4" t="n">
        <v>2021</v>
      </c>
      <c r="O25" s="2" t="n">
        <v>0.3945</v>
      </c>
      <c r="P25" s="2" t="n">
        <v>0.0048</v>
      </c>
      <c r="Q25" s="2" t="n">
        <v>145.2</v>
      </c>
      <c r="R25" s="2" t="n">
        <f aca="false">O25-(N25-1950)/1000</f>
        <v>0.3235</v>
      </c>
      <c r="S25" s="2" t="n">
        <f aca="false">ROUNDUP(ROUND(O25,6)*10,0)/10</f>
        <v>0.4</v>
      </c>
      <c r="T25" s="2" t="n">
        <f aca="false">MAX(0.1,ROUNDUP(ROUND(R25,6)*10,0)/10)</f>
        <v>0.4</v>
      </c>
      <c r="U25" s="2" t="str">
        <f aca="false">IF(S25&lt;&gt;T25,"yes","no")</f>
        <v>no</v>
      </c>
      <c r="V25" s="2" t="str">
        <f aca="false">IF(R25&lt;0,"yes","no")</f>
        <v>no</v>
      </c>
      <c r="W25" s="2" t="s">
        <v>43</v>
      </c>
      <c r="X25" s="2"/>
    </row>
    <row r="26" customFormat="false" ht="15" hidden="false" customHeight="false" outlineLevel="0" collapsed="false">
      <c r="A26" s="2" t="n">
        <v>348</v>
      </c>
      <c r="B26" s="2" t="s">
        <v>68</v>
      </c>
      <c r="C26" s="2" t="s">
        <v>68</v>
      </c>
      <c r="D26" s="2" t="s">
        <v>47</v>
      </c>
      <c r="E26" s="2" t="s">
        <v>48</v>
      </c>
      <c r="F26" s="2" t="s">
        <v>69</v>
      </c>
      <c r="G26" s="2" t="n">
        <v>-5.2</v>
      </c>
      <c r="H26" s="2" t="n">
        <v>-86.9865649999999</v>
      </c>
      <c r="I26" s="2" t="n">
        <v>20.7060869999999</v>
      </c>
      <c r="J26" s="2" t="s">
        <v>70</v>
      </c>
      <c r="K26" s="2"/>
      <c r="L26" s="2" t="s">
        <v>42</v>
      </c>
      <c r="M26" s="2" t="n">
        <v>2023</v>
      </c>
      <c r="N26" s="4" t="n">
        <v>2021</v>
      </c>
      <c r="O26" s="2" t="n">
        <v>0.3991</v>
      </c>
      <c r="P26" s="2" t="n">
        <v>0.0098</v>
      </c>
      <c r="Q26" s="2" t="n">
        <v>144.2</v>
      </c>
      <c r="R26" s="2" t="n">
        <f aca="false">O26-(N26-1950)/1000</f>
        <v>0.3281</v>
      </c>
      <c r="S26" s="2" t="n">
        <f aca="false">ROUNDUP(ROUND(O26,6)*10,0)/10</f>
        <v>0.4</v>
      </c>
      <c r="T26" s="2" t="n">
        <f aca="false">MAX(0.1,ROUNDUP(ROUND(R26,6)*10,0)/10)</f>
        <v>0.4</v>
      </c>
      <c r="U26" s="2" t="str">
        <f aca="false">IF(S26&lt;&gt;T26,"yes","no")</f>
        <v>no</v>
      </c>
      <c r="V26" s="2" t="str">
        <f aca="false">IF(R26&lt;0,"yes","no")</f>
        <v>no</v>
      </c>
      <c r="W26" s="2" t="s">
        <v>71</v>
      </c>
      <c r="X26" s="5" t="s">
        <v>72</v>
      </c>
    </row>
    <row r="27" customFormat="false" ht="15" hidden="false" customHeight="false" outlineLevel="0" collapsed="false">
      <c r="A27" s="2" t="n">
        <v>349</v>
      </c>
      <c r="B27" s="2" t="s">
        <v>91</v>
      </c>
      <c r="C27" s="2" t="s">
        <v>91</v>
      </c>
      <c r="D27" s="2" t="s">
        <v>47</v>
      </c>
      <c r="E27" s="2" t="s">
        <v>48</v>
      </c>
      <c r="F27" s="2" t="s">
        <v>92</v>
      </c>
      <c r="G27" s="2" t="n">
        <v>-0.7</v>
      </c>
      <c r="H27" s="2" t="n">
        <v>-86.9710789931824</v>
      </c>
      <c r="I27" s="2" t="n">
        <v>20.7173796638726</v>
      </c>
      <c r="J27" s="2" t="s">
        <v>93</v>
      </c>
      <c r="K27" s="2"/>
      <c r="L27" s="2" t="s">
        <v>42</v>
      </c>
      <c r="M27" s="2" t="n">
        <v>2023</v>
      </c>
      <c r="N27" s="4" t="n">
        <v>2021</v>
      </c>
      <c r="O27" s="2" t="n">
        <v>0.4155</v>
      </c>
      <c r="P27" s="2" t="n">
        <v>0.0035</v>
      </c>
      <c r="Q27" s="2" t="n">
        <v>148.2</v>
      </c>
      <c r="R27" s="2" t="n">
        <f aca="false">O27-(N27-1950)/1000</f>
        <v>0.3445</v>
      </c>
      <c r="S27" s="2" t="n">
        <f aca="false">ROUNDUP(ROUND(O27,6)*10,0)/10</f>
        <v>0.5</v>
      </c>
      <c r="T27" s="2" t="n">
        <f aca="false">MAX(0.1,ROUNDUP(ROUND(R27,6)*10,0)/10)</f>
        <v>0.4</v>
      </c>
      <c r="U27" s="2" t="str">
        <f aca="false">IF(S27&lt;&gt;T27,"yes","no")</f>
        <v>yes</v>
      </c>
      <c r="V27" s="2" t="str">
        <f aca="false">IF(R27&lt;0,"yes","no")</f>
        <v>no</v>
      </c>
      <c r="W27" s="2" t="s">
        <v>43</v>
      </c>
      <c r="X27" s="2" t="s">
        <v>59</v>
      </c>
    </row>
    <row r="28" customFormat="false" ht="15" hidden="false" customHeight="false" outlineLevel="0" collapsed="false">
      <c r="A28" s="2" t="n">
        <v>350</v>
      </c>
      <c r="B28" s="2" t="s">
        <v>94</v>
      </c>
      <c r="C28" s="2" t="s">
        <v>94</v>
      </c>
      <c r="D28" s="2" t="s">
        <v>38</v>
      </c>
      <c r="E28" s="2" t="s">
        <v>39</v>
      </c>
      <c r="F28" s="2" t="s">
        <v>95</v>
      </c>
      <c r="G28" s="2" t="n">
        <v>-0.23</v>
      </c>
      <c r="H28" s="2" t="n">
        <v>-86.97623204</v>
      </c>
      <c r="I28" s="2" t="n">
        <v>20.71466703</v>
      </c>
      <c r="J28" s="2" t="s">
        <v>41</v>
      </c>
      <c r="K28" s="2"/>
      <c r="L28" s="2" t="s">
        <v>42</v>
      </c>
      <c r="M28" s="2" t="n">
        <v>2021</v>
      </c>
      <c r="N28" s="4" t="n">
        <v>2021</v>
      </c>
      <c r="O28" s="2" t="n">
        <v>0.481</v>
      </c>
      <c r="P28" s="2" t="n">
        <v>0.0052</v>
      </c>
      <c r="Q28" s="2" t="n">
        <v>154.2</v>
      </c>
      <c r="R28" s="2" t="n">
        <f aca="false">O28-(N28-1950)/1000</f>
        <v>0.41</v>
      </c>
      <c r="S28" s="2" t="n">
        <f aca="false">ROUNDUP(ROUND(O28,6)*10,0)/10</f>
        <v>0.5</v>
      </c>
      <c r="T28" s="2" t="n">
        <f aca="false">MAX(0.1,ROUNDUP(ROUND(R28,6)*10,0)/10)</f>
        <v>0.5</v>
      </c>
      <c r="U28" s="2" t="str">
        <f aca="false">IF(S28&lt;&gt;T28,"yes","no")</f>
        <v>no</v>
      </c>
      <c r="V28" s="2" t="str">
        <f aca="false">IF(R28&lt;0,"yes","no")</f>
        <v>no</v>
      </c>
      <c r="W28" s="2" t="s">
        <v>43</v>
      </c>
      <c r="X28" s="2"/>
    </row>
    <row r="29" customFormat="false" ht="15" hidden="false" customHeight="false" outlineLevel="0" collapsed="false">
      <c r="A29" s="2" t="n">
        <v>351</v>
      </c>
      <c r="B29" s="2" t="s">
        <v>96</v>
      </c>
      <c r="C29" s="2" t="s">
        <v>96</v>
      </c>
      <c r="D29" s="2" t="s">
        <v>38</v>
      </c>
      <c r="E29" s="2" t="s">
        <v>39</v>
      </c>
      <c r="F29" s="2" t="s">
        <v>97</v>
      </c>
      <c r="G29" s="2" t="n">
        <v>-5</v>
      </c>
      <c r="H29" s="2" t="n">
        <v>-86.97032698</v>
      </c>
      <c r="I29" s="2" t="n">
        <v>20.71963096</v>
      </c>
      <c r="J29" s="2" t="s">
        <v>41</v>
      </c>
      <c r="K29" s="2"/>
      <c r="L29" s="2" t="s">
        <v>42</v>
      </c>
      <c r="M29" s="2" t="n">
        <v>2021</v>
      </c>
      <c r="N29" s="4" t="n">
        <v>2021</v>
      </c>
      <c r="O29" s="2" t="n">
        <v>0.48175</v>
      </c>
      <c r="P29" s="2" t="n">
        <v>0.0192</v>
      </c>
      <c r="Q29" s="2" t="n">
        <v>142.2</v>
      </c>
      <c r="R29" s="2" t="n">
        <f aca="false">O29-(N29-1950)/1000</f>
        <v>0.41075</v>
      </c>
      <c r="S29" s="2" t="n">
        <f aca="false">ROUNDUP(ROUND(O29,6)*10,0)/10</f>
        <v>0.5</v>
      </c>
      <c r="T29" s="2" t="n">
        <f aca="false">MAX(0.1,ROUNDUP(ROUND(R29,6)*10,0)/10)</f>
        <v>0.5</v>
      </c>
      <c r="U29" s="2" t="str">
        <f aca="false">IF(S29&lt;&gt;T29,"yes","no")</f>
        <v>no</v>
      </c>
      <c r="V29" s="2" t="str">
        <f aca="false">IF(R29&lt;0,"yes","no")</f>
        <v>no</v>
      </c>
      <c r="W29" s="2" t="s">
        <v>43</v>
      </c>
      <c r="X29" s="2"/>
    </row>
    <row r="30" customFormat="false" ht="15" hidden="false" customHeight="false" outlineLevel="0" collapsed="false">
      <c r="A30" s="2" t="n">
        <v>352</v>
      </c>
      <c r="B30" s="2" t="s">
        <v>98</v>
      </c>
      <c r="C30" s="2" t="s">
        <v>98</v>
      </c>
      <c r="D30" s="2" t="s">
        <v>47</v>
      </c>
      <c r="E30" s="2" t="s">
        <v>48</v>
      </c>
      <c r="F30" s="2" t="s">
        <v>98</v>
      </c>
      <c r="G30" s="2" t="n">
        <v>-6.1</v>
      </c>
      <c r="H30" s="2" t="n">
        <v>-86.956697</v>
      </c>
      <c r="I30" s="2" t="n">
        <v>20.730548</v>
      </c>
      <c r="J30" s="2" t="s">
        <v>70</v>
      </c>
      <c r="K30" s="2"/>
      <c r="L30" s="2" t="s">
        <v>42</v>
      </c>
      <c r="M30" s="2" t="n">
        <v>2023</v>
      </c>
      <c r="N30" s="4" t="n">
        <v>2021</v>
      </c>
      <c r="O30" s="2" t="n">
        <v>0.4888</v>
      </c>
      <c r="P30" s="2" t="n">
        <v>0.0198</v>
      </c>
      <c r="Q30" s="2" t="n">
        <v>147.2</v>
      </c>
      <c r="R30" s="2" t="n">
        <f aca="false">O30-(N30-1950)/1000</f>
        <v>0.4178</v>
      </c>
      <c r="S30" s="2" t="n">
        <f aca="false">ROUNDUP(ROUND(O30,6)*10,0)/10</f>
        <v>0.5</v>
      </c>
      <c r="T30" s="2" t="n">
        <f aca="false">MAX(0.1,ROUNDUP(ROUND(R30,6)*10,0)/10)</f>
        <v>0.5</v>
      </c>
      <c r="U30" s="2" t="str">
        <f aca="false">IF(S30&lt;&gt;T30,"yes","no")</f>
        <v>no</v>
      </c>
      <c r="V30" s="2" t="str">
        <f aca="false">IF(R30&lt;0,"yes","no")</f>
        <v>no</v>
      </c>
      <c r="W30" s="2" t="s">
        <v>43</v>
      </c>
      <c r="X30" s="2" t="s">
        <v>59</v>
      </c>
    </row>
    <row r="31" customFormat="false" ht="15" hidden="false" customHeight="false" outlineLevel="0" collapsed="false">
      <c r="A31" s="2" t="n">
        <v>353</v>
      </c>
      <c r="B31" s="2" t="s">
        <v>99</v>
      </c>
      <c r="C31" s="2" t="s">
        <v>99</v>
      </c>
      <c r="D31" s="2" t="s">
        <v>47</v>
      </c>
      <c r="E31" s="2" t="s">
        <v>48</v>
      </c>
      <c r="F31" s="2" t="s">
        <v>99</v>
      </c>
      <c r="G31" s="2" t="n">
        <v>-4.59</v>
      </c>
      <c r="H31" s="2" t="n">
        <v>-86.956559</v>
      </c>
      <c r="I31" s="2" t="n">
        <v>20.730488</v>
      </c>
      <c r="J31" s="2" t="s">
        <v>70</v>
      </c>
      <c r="K31" s="2"/>
      <c r="L31" s="2" t="s">
        <v>42</v>
      </c>
      <c r="M31" s="2" t="n">
        <v>2023</v>
      </c>
      <c r="N31" s="4" t="n">
        <v>2021</v>
      </c>
      <c r="O31" s="2" t="n">
        <v>0.5051</v>
      </c>
      <c r="P31" s="2" t="n">
        <v>0.0147</v>
      </c>
      <c r="Q31" s="2" t="n">
        <v>145.2</v>
      </c>
      <c r="R31" s="2" t="n">
        <f aca="false">O31-(N31-1950)/1000</f>
        <v>0.4341</v>
      </c>
      <c r="S31" s="2" t="n">
        <f aca="false">ROUNDUP(ROUND(O31,6)*10,0)/10</f>
        <v>0.6</v>
      </c>
      <c r="T31" s="2" t="n">
        <f aca="false">MAX(0.1,ROUNDUP(ROUND(R31,6)*10,0)/10)</f>
        <v>0.5</v>
      </c>
      <c r="U31" s="2" t="str">
        <f aca="false">IF(S31&lt;&gt;T31,"yes","no")</f>
        <v>yes</v>
      </c>
      <c r="V31" s="2" t="str">
        <f aca="false">IF(R31&lt;0,"yes","no")</f>
        <v>no</v>
      </c>
      <c r="W31" s="2" t="s">
        <v>43</v>
      </c>
      <c r="X31" s="2" t="s">
        <v>59</v>
      </c>
    </row>
    <row r="32" customFormat="false" ht="15" hidden="false" customHeight="false" outlineLevel="0" collapsed="false">
      <c r="A32" s="2" t="n">
        <v>354</v>
      </c>
      <c r="B32" s="2" t="s">
        <v>100</v>
      </c>
      <c r="C32" s="2" t="s">
        <v>100</v>
      </c>
      <c r="D32" s="2" t="s">
        <v>47</v>
      </c>
      <c r="E32" s="2" t="s">
        <v>48</v>
      </c>
      <c r="F32" s="2" t="s">
        <v>101</v>
      </c>
      <c r="G32" s="2" t="n">
        <v>-4.62</v>
      </c>
      <c r="H32" s="2" t="n">
        <v>-86.969922506928</v>
      </c>
      <c r="I32" s="2" t="n">
        <v>20.7184282892786</v>
      </c>
      <c r="J32" s="2" t="s">
        <v>70</v>
      </c>
      <c r="K32" s="2"/>
      <c r="L32" s="2" t="s">
        <v>42</v>
      </c>
      <c r="M32" s="2" t="n">
        <v>2023</v>
      </c>
      <c r="N32" s="4" t="n">
        <v>2021</v>
      </c>
      <c r="O32" s="2" t="n">
        <v>0.635</v>
      </c>
      <c r="P32" s="2" t="n">
        <v>0.0486</v>
      </c>
      <c r="Q32" s="2" t="n">
        <v>143.3</v>
      </c>
      <c r="R32" s="2" t="n">
        <f aca="false">O32-(N32-1950)/1000</f>
        <v>0.564</v>
      </c>
      <c r="S32" s="2" t="n">
        <f aca="false">ROUNDUP(ROUND(O32,6)*10,0)/10</f>
        <v>0.7</v>
      </c>
      <c r="T32" s="2" t="n">
        <f aca="false">MAX(0.1,ROUNDUP(ROUND(R32,6)*10,0)/10)</f>
        <v>0.6</v>
      </c>
      <c r="U32" s="2" t="str">
        <f aca="false">IF(S32&lt;&gt;T32,"yes","no")</f>
        <v>yes</v>
      </c>
      <c r="V32" s="2" t="str">
        <f aca="false">IF(R32&lt;0,"yes","no")</f>
        <v>no</v>
      </c>
      <c r="W32" s="2" t="s">
        <v>43</v>
      </c>
      <c r="X32" s="2" t="s">
        <v>59</v>
      </c>
    </row>
    <row r="33" customFormat="false" ht="15" hidden="false" customHeight="false" outlineLevel="0" collapsed="false">
      <c r="A33" s="2" t="n">
        <v>355</v>
      </c>
      <c r="B33" s="2" t="s">
        <v>102</v>
      </c>
      <c r="C33" s="2" t="s">
        <v>102</v>
      </c>
      <c r="D33" s="2" t="s">
        <v>47</v>
      </c>
      <c r="E33" s="2" t="s">
        <v>48</v>
      </c>
      <c r="F33" s="2" t="s">
        <v>103</v>
      </c>
      <c r="G33" s="2" t="n">
        <v>-1.53</v>
      </c>
      <c r="H33" s="2" t="n">
        <v>-86.9668811379872</v>
      </c>
      <c r="I33" s="2" t="n">
        <v>20.7211367121479</v>
      </c>
      <c r="J33" s="2" t="s">
        <v>93</v>
      </c>
      <c r="K33" s="2"/>
      <c r="L33" s="2" t="s">
        <v>42</v>
      </c>
      <c r="M33" s="2" t="n">
        <v>2023</v>
      </c>
      <c r="N33" s="4" t="n">
        <v>2021</v>
      </c>
      <c r="O33" s="2" t="n">
        <v>0.6904</v>
      </c>
      <c r="P33" s="2" t="n">
        <v>0.0395</v>
      </c>
      <c r="Q33" s="2" t="n">
        <v>145.3</v>
      </c>
      <c r="R33" s="2" t="n">
        <f aca="false">O33-(N33-1950)/1000</f>
        <v>0.6194</v>
      </c>
      <c r="S33" s="2" t="n">
        <f aca="false">ROUNDUP(ROUND(O33,6)*10,0)/10</f>
        <v>0.7</v>
      </c>
      <c r="T33" s="2" t="n">
        <f aca="false">MAX(0.1,ROUNDUP(ROUND(R33,6)*10,0)/10)</f>
        <v>0.7</v>
      </c>
      <c r="U33" s="2" t="str">
        <f aca="false">IF(S33&lt;&gt;T33,"yes","no")</f>
        <v>no</v>
      </c>
      <c r="V33" s="2" t="str">
        <f aca="false">IF(R33&lt;0,"yes","no")</f>
        <v>no</v>
      </c>
      <c r="W33" s="2" t="s">
        <v>43</v>
      </c>
      <c r="X33" s="2" t="s">
        <v>59</v>
      </c>
    </row>
    <row r="34" customFormat="false" ht="15" hidden="false" customHeight="false" outlineLevel="0" collapsed="false">
      <c r="A34" s="2" t="n">
        <v>356</v>
      </c>
      <c r="B34" s="2" t="s">
        <v>104</v>
      </c>
      <c r="C34" s="2" t="s">
        <v>104</v>
      </c>
      <c r="D34" s="2" t="s">
        <v>38</v>
      </c>
      <c r="E34" s="2" t="s">
        <v>39</v>
      </c>
      <c r="F34" s="2" t="s">
        <v>105</v>
      </c>
      <c r="G34" s="2" t="n">
        <v>-0.83</v>
      </c>
      <c r="H34" s="2" t="n">
        <v>-86.974169</v>
      </c>
      <c r="I34" s="2" t="n">
        <v>20.716033</v>
      </c>
      <c r="J34" s="2" t="s">
        <v>41</v>
      </c>
      <c r="K34" s="2"/>
      <c r="L34" s="2" t="s">
        <v>42</v>
      </c>
      <c r="M34" s="2" t="n">
        <v>2023</v>
      </c>
      <c r="N34" s="4" t="n">
        <v>2021</v>
      </c>
      <c r="O34" s="2" t="n">
        <v>0.7088</v>
      </c>
      <c r="P34" s="2" t="n">
        <v>0.0199</v>
      </c>
      <c r="Q34" s="2" t="n">
        <v>149.3</v>
      </c>
      <c r="R34" s="2" t="n">
        <f aca="false">O34-(N34-1950)/1000</f>
        <v>0.6378</v>
      </c>
      <c r="S34" s="2" t="n">
        <f aca="false">ROUNDUP(ROUND(O34,6)*10,0)/10</f>
        <v>0.8</v>
      </c>
      <c r="T34" s="2" t="n">
        <f aca="false">MAX(0.1,ROUNDUP(ROUND(R34,6)*10,0)/10)</f>
        <v>0.7</v>
      </c>
      <c r="U34" s="2" t="str">
        <f aca="false">IF(S34&lt;&gt;T34,"yes","no")</f>
        <v>yes</v>
      </c>
      <c r="V34" s="2" t="str">
        <f aca="false">IF(R34&lt;0,"yes","no")</f>
        <v>no</v>
      </c>
      <c r="W34" s="2" t="s">
        <v>43</v>
      </c>
      <c r="X34" s="2" t="s">
        <v>59</v>
      </c>
    </row>
    <row r="35" customFormat="false" ht="15" hidden="false" customHeight="false" outlineLevel="0" collapsed="false">
      <c r="A35" s="2" t="n">
        <v>357</v>
      </c>
      <c r="B35" s="2" t="s">
        <v>106</v>
      </c>
      <c r="C35" s="2" t="s">
        <v>106</v>
      </c>
      <c r="D35" s="2" t="s">
        <v>47</v>
      </c>
      <c r="E35" s="2" t="s">
        <v>48</v>
      </c>
      <c r="F35" s="2" t="s">
        <v>88</v>
      </c>
      <c r="G35" s="2" t="n">
        <v>-0.7</v>
      </c>
      <c r="H35" s="2" t="n">
        <v>-86.97018701</v>
      </c>
      <c r="I35" s="2" t="n">
        <v>20.71939199</v>
      </c>
      <c r="J35" s="2" t="s">
        <v>93</v>
      </c>
      <c r="K35" s="2"/>
      <c r="L35" s="2" t="s">
        <v>42</v>
      </c>
      <c r="M35" s="2" t="n">
        <v>2021</v>
      </c>
      <c r="N35" s="4" t="n">
        <v>2021</v>
      </c>
      <c r="O35" s="2" t="n">
        <v>0.9593</v>
      </c>
      <c r="P35" s="2" t="n">
        <v>0.0097</v>
      </c>
      <c r="Q35" s="2" t="n">
        <v>141.4</v>
      </c>
      <c r="R35" s="2" t="n">
        <f aca="false">O35-(N35-1950)/1000</f>
        <v>0.8883</v>
      </c>
      <c r="S35" s="2" t="n">
        <f aca="false">ROUNDUP(ROUND(O35,6)*10,0)/10</f>
        <v>1</v>
      </c>
      <c r="T35" s="2" t="n">
        <f aca="false">MAX(0.1,ROUNDUP(ROUND(R35,6)*10,0)/10)</f>
        <v>0.9</v>
      </c>
      <c r="U35" s="2" t="str">
        <f aca="false">IF(S35&lt;&gt;T35,"yes","no")</f>
        <v>yes</v>
      </c>
      <c r="V35" s="2" t="str">
        <f aca="false">IF(R35&lt;0,"yes","no")</f>
        <v>no</v>
      </c>
      <c r="W35" s="2" t="s">
        <v>43</v>
      </c>
      <c r="X35" s="2"/>
    </row>
    <row r="36" customFormat="false" ht="15" hidden="false" customHeight="false" outlineLevel="0" collapsed="false">
      <c r="A36" s="2" t="n">
        <v>358</v>
      </c>
      <c r="B36" s="2" t="s">
        <v>107</v>
      </c>
      <c r="C36" s="2" t="s">
        <v>107</v>
      </c>
      <c r="D36" s="2" t="s">
        <v>47</v>
      </c>
      <c r="E36" s="2" t="s">
        <v>48</v>
      </c>
      <c r="F36" s="2" t="s">
        <v>61</v>
      </c>
      <c r="G36" s="2" t="n">
        <v>-2.16</v>
      </c>
      <c r="H36" s="2" t="n">
        <v>-86.97627674</v>
      </c>
      <c r="I36" s="2" t="n">
        <v>20.71467121</v>
      </c>
      <c r="J36" s="2" t="s">
        <v>70</v>
      </c>
      <c r="K36" s="2"/>
      <c r="L36" s="2" t="s">
        <v>42</v>
      </c>
      <c r="M36" s="2" t="n">
        <v>2021</v>
      </c>
      <c r="N36" s="4" t="n">
        <v>2021</v>
      </c>
      <c r="O36" s="2" t="n">
        <v>0.96577</v>
      </c>
      <c r="P36" s="2" t="n">
        <v>0.03891</v>
      </c>
      <c r="Q36" s="2" t="n">
        <v>148.4</v>
      </c>
      <c r="R36" s="2" t="n">
        <f aca="false">O36-(N36-1950)/1000</f>
        <v>0.89477</v>
      </c>
      <c r="S36" s="2" t="n">
        <f aca="false">ROUNDUP(ROUND(O36,6)*10,0)/10</f>
        <v>1</v>
      </c>
      <c r="T36" s="2" t="n">
        <f aca="false">MAX(0.1,ROUNDUP(ROUND(R36,6)*10,0)/10)</f>
        <v>0.9</v>
      </c>
      <c r="U36" s="2" t="str">
        <f aca="false">IF(S36&lt;&gt;T36,"yes","no")</f>
        <v>yes</v>
      </c>
      <c r="V36" s="2" t="str">
        <f aca="false">IF(R36&lt;0,"yes","no")</f>
        <v>no</v>
      </c>
      <c r="W36" s="2" t="s">
        <v>43</v>
      </c>
      <c r="X36" s="2"/>
    </row>
    <row r="37" customFormat="false" ht="15" hidden="false" customHeight="false" outlineLevel="0" collapsed="false">
      <c r="A37" s="2" t="n">
        <v>359</v>
      </c>
      <c r="B37" s="2" t="s">
        <v>108</v>
      </c>
      <c r="C37" s="2" t="s">
        <v>108</v>
      </c>
      <c r="D37" s="2" t="s">
        <v>47</v>
      </c>
      <c r="E37" s="2" t="s">
        <v>48</v>
      </c>
      <c r="F37" s="2" t="s">
        <v>65</v>
      </c>
      <c r="G37" s="2" t="n">
        <v>-2.16</v>
      </c>
      <c r="H37" s="2" t="n">
        <v>-86.95673103</v>
      </c>
      <c r="I37" s="2" t="n">
        <v>20.73178003</v>
      </c>
      <c r="J37" s="2" t="s">
        <v>93</v>
      </c>
      <c r="K37" s="2"/>
      <c r="L37" s="2" t="s">
        <v>42</v>
      </c>
      <c r="M37" s="2" t="n">
        <v>2021</v>
      </c>
      <c r="N37" s="4" t="n">
        <v>2021</v>
      </c>
      <c r="O37" s="2" t="n">
        <v>1.01775</v>
      </c>
      <c r="P37" s="2" t="n">
        <v>0.01958</v>
      </c>
      <c r="Q37" s="2" t="n">
        <v>143.4</v>
      </c>
      <c r="R37" s="2" t="n">
        <f aca="false">O37-(N37-1950)/1000</f>
        <v>0.94675</v>
      </c>
      <c r="S37" s="2" t="n">
        <f aca="false">ROUNDUP(ROUND(O37,6)*10,0)/10</f>
        <v>1.1</v>
      </c>
      <c r="T37" s="2" t="n">
        <f aca="false">MAX(0.1,ROUNDUP(ROUND(R37,6)*10,0)/10)</f>
        <v>1</v>
      </c>
      <c r="U37" s="2" t="str">
        <f aca="false">IF(S37&lt;&gt;T37,"yes","no")</f>
        <v>yes</v>
      </c>
      <c r="V37" s="2" t="str">
        <f aca="false">IF(R37&lt;0,"yes","no")</f>
        <v>no</v>
      </c>
      <c r="W37" s="2" t="s">
        <v>43</v>
      </c>
      <c r="X37" s="2"/>
    </row>
    <row r="38" customFormat="false" ht="15" hidden="false" customHeight="false" outlineLevel="0" collapsed="false">
      <c r="A38" s="2" t="n">
        <v>360</v>
      </c>
      <c r="B38" s="2" t="s">
        <v>109</v>
      </c>
      <c r="C38" s="2" t="s">
        <v>110</v>
      </c>
      <c r="D38" s="2" t="s">
        <v>47</v>
      </c>
      <c r="E38" s="2" t="s">
        <v>48</v>
      </c>
      <c r="F38" s="2" t="s">
        <v>65</v>
      </c>
      <c r="G38" s="2" t="n">
        <v>-2.16</v>
      </c>
      <c r="H38" s="2" t="n">
        <v>-86.95673103</v>
      </c>
      <c r="I38" s="2" t="n">
        <v>20.73178003</v>
      </c>
      <c r="J38" s="2" t="s">
        <v>70</v>
      </c>
      <c r="K38" s="2"/>
      <c r="L38" s="2" t="s">
        <v>42</v>
      </c>
      <c r="M38" s="2" t="n">
        <v>2021</v>
      </c>
      <c r="N38" s="4" t="n">
        <v>2021</v>
      </c>
      <c r="O38" s="2" t="n">
        <v>1.04254</v>
      </c>
      <c r="P38" s="2" t="n">
        <v>0.02986</v>
      </c>
      <c r="Q38" s="2" t="n">
        <v>150.4</v>
      </c>
      <c r="R38" s="2" t="n">
        <f aca="false">O38-(N38-1950)/1000</f>
        <v>0.97154</v>
      </c>
      <c r="S38" s="2" t="n">
        <f aca="false">ROUNDUP(ROUND(O38,6)*10,0)/10</f>
        <v>1.1</v>
      </c>
      <c r="T38" s="2" t="n">
        <f aca="false">MAX(0.1,ROUNDUP(ROUND(R38,6)*10,0)/10)</f>
        <v>1</v>
      </c>
      <c r="U38" s="2" t="str">
        <f aca="false">IF(S38&lt;&gt;T38,"yes","no")</f>
        <v>yes</v>
      </c>
      <c r="V38" s="2" t="str">
        <f aca="false">IF(R38&lt;0,"yes","no")</f>
        <v>no</v>
      </c>
      <c r="W38" s="2" t="s">
        <v>43</v>
      </c>
      <c r="X38" s="5" t="s">
        <v>111</v>
      </c>
    </row>
    <row r="39" customFormat="false" ht="15" hidden="false" customHeight="false" outlineLevel="0" collapsed="false">
      <c r="A39" s="2" t="n">
        <v>361</v>
      </c>
      <c r="B39" s="2" t="s">
        <v>112</v>
      </c>
      <c r="C39" s="2" t="s">
        <v>112</v>
      </c>
      <c r="D39" s="2" t="s">
        <v>47</v>
      </c>
      <c r="E39" s="2" t="s">
        <v>48</v>
      </c>
      <c r="F39" s="2" t="s">
        <v>56</v>
      </c>
      <c r="G39" s="2" t="n">
        <v>-0.6</v>
      </c>
      <c r="H39" s="2" t="n">
        <v>-86.969582</v>
      </c>
      <c r="I39" s="2" t="n">
        <v>20.72016899</v>
      </c>
      <c r="J39" s="2" t="s">
        <v>50</v>
      </c>
      <c r="K39" s="2"/>
      <c r="L39" s="2" t="s">
        <v>42</v>
      </c>
      <c r="M39" s="2" t="n">
        <v>2021</v>
      </c>
      <c r="N39" s="4" t="n">
        <v>2021</v>
      </c>
      <c r="O39" s="2" t="n">
        <v>1.13144</v>
      </c>
      <c r="P39" s="2" t="n">
        <v>0.02023</v>
      </c>
      <c r="Q39" s="2" t="n">
        <v>158.5</v>
      </c>
      <c r="R39" s="2" t="n">
        <f aca="false">O39-(N39-1950)/1000</f>
        <v>1.06044</v>
      </c>
      <c r="S39" s="2" t="n">
        <f aca="false">ROUNDUP(ROUND(O39,6)*10,0)/10</f>
        <v>1.2</v>
      </c>
      <c r="T39" s="2" t="n">
        <f aca="false">MAX(0.1,ROUNDUP(ROUND(R39,6)*10,0)/10)</f>
        <v>1.1</v>
      </c>
      <c r="U39" s="2" t="str">
        <f aca="false">IF(S39&lt;&gt;T39,"yes","no")</f>
        <v>yes</v>
      </c>
      <c r="V39" s="2" t="str">
        <f aca="false">IF(R39&lt;0,"yes","no")</f>
        <v>no</v>
      </c>
      <c r="W39" s="2" t="s">
        <v>43</v>
      </c>
      <c r="X39" s="2"/>
    </row>
    <row r="40" customFormat="false" ht="15" hidden="false" customHeight="false" outlineLevel="0" collapsed="false">
      <c r="A40" s="2" t="n">
        <v>362</v>
      </c>
      <c r="B40" s="2" t="s">
        <v>113</v>
      </c>
      <c r="C40" s="2" t="s">
        <v>113</v>
      </c>
      <c r="D40" s="2" t="s">
        <v>47</v>
      </c>
      <c r="E40" s="2" t="s">
        <v>48</v>
      </c>
      <c r="F40" s="2" t="s">
        <v>65</v>
      </c>
      <c r="G40" s="2" t="n">
        <v>-1.31</v>
      </c>
      <c r="H40" s="2" t="n">
        <v>-86.95673103</v>
      </c>
      <c r="I40" s="2" t="n">
        <v>20.73178003</v>
      </c>
      <c r="J40" s="2" t="s">
        <v>70</v>
      </c>
      <c r="K40" s="2"/>
      <c r="L40" s="2" t="s">
        <v>42</v>
      </c>
      <c r="M40" s="2" t="n">
        <v>2021</v>
      </c>
      <c r="N40" s="4" t="n">
        <v>2021</v>
      </c>
      <c r="O40" s="2" t="n">
        <v>1.34427</v>
      </c>
      <c r="P40" s="2" t="n">
        <v>0.03962</v>
      </c>
      <c r="Q40" s="2" t="n">
        <v>147.6</v>
      </c>
      <c r="R40" s="2" t="n">
        <f aca="false">O40-(N40-1950)/1000</f>
        <v>1.27327</v>
      </c>
      <c r="S40" s="2" t="n">
        <f aca="false">ROUNDUP(ROUND(O40,6)*10,0)/10</f>
        <v>1.4</v>
      </c>
      <c r="T40" s="2" t="n">
        <f aca="false">MAX(0.1,ROUNDUP(ROUND(R40,6)*10,0)/10)</f>
        <v>1.3</v>
      </c>
      <c r="U40" s="2" t="str">
        <f aca="false">IF(S40&lt;&gt;T40,"yes","no")</f>
        <v>yes</v>
      </c>
      <c r="V40" s="2" t="str">
        <f aca="false">IF(R40&lt;0,"yes","no")</f>
        <v>no</v>
      </c>
      <c r="W40" s="2" t="s">
        <v>43</v>
      </c>
      <c r="X40" s="2"/>
    </row>
    <row r="41" customFormat="false" ht="15" hidden="false" customHeight="false" outlineLevel="0" collapsed="false">
      <c r="A41" s="2" t="n">
        <v>363</v>
      </c>
      <c r="B41" s="2" t="s">
        <v>114</v>
      </c>
      <c r="C41" s="2" t="s">
        <v>114</v>
      </c>
      <c r="D41" s="2" t="s">
        <v>38</v>
      </c>
      <c r="E41" s="2" t="s">
        <v>39</v>
      </c>
      <c r="F41" s="2" t="s">
        <v>115</v>
      </c>
      <c r="G41" s="2" t="n">
        <v>-1.32</v>
      </c>
      <c r="H41" s="2" t="n">
        <v>-86.95686498</v>
      </c>
      <c r="I41" s="2" t="n">
        <v>20.73196501</v>
      </c>
      <c r="J41" s="2" t="s">
        <v>41</v>
      </c>
      <c r="K41" s="2"/>
      <c r="L41" s="2" t="s">
        <v>42</v>
      </c>
      <c r="M41" s="2" t="n">
        <v>2021</v>
      </c>
      <c r="N41" s="4" t="n">
        <v>2021</v>
      </c>
      <c r="O41" s="2" t="n">
        <v>1.45308</v>
      </c>
      <c r="P41" s="2" t="n">
        <v>0.02078</v>
      </c>
      <c r="Q41" s="2" t="n">
        <v>144.6</v>
      </c>
      <c r="R41" s="2" t="n">
        <f aca="false">O41-(N41-1950)/1000</f>
        <v>1.38208</v>
      </c>
      <c r="S41" s="2" t="n">
        <f aca="false">ROUNDUP(ROUND(O41,6)*10,0)/10</f>
        <v>1.5</v>
      </c>
      <c r="T41" s="2" t="n">
        <f aca="false">MAX(0.1,ROUNDUP(ROUND(R41,6)*10,0)/10)</f>
        <v>1.4</v>
      </c>
      <c r="U41" s="2" t="str">
        <f aca="false">IF(S41&lt;&gt;T41,"yes","no")</f>
        <v>yes</v>
      </c>
      <c r="V41" s="2" t="str">
        <f aca="false">IF(R41&lt;0,"yes","no")</f>
        <v>no</v>
      </c>
      <c r="W41" s="2" t="s">
        <v>43</v>
      </c>
      <c r="X41" s="2"/>
    </row>
    <row r="42" customFormat="false" ht="15" hidden="false" customHeight="false" outlineLevel="0" collapsed="false">
      <c r="A42" s="2" t="n">
        <v>364</v>
      </c>
      <c r="B42" s="2" t="s">
        <v>116</v>
      </c>
      <c r="C42" s="2" t="s">
        <v>116</v>
      </c>
      <c r="D42" s="2" t="s">
        <v>47</v>
      </c>
      <c r="E42" s="2" t="s">
        <v>48</v>
      </c>
      <c r="F42" s="2" t="s">
        <v>116</v>
      </c>
      <c r="G42" s="2" t="n">
        <v>-3.81</v>
      </c>
      <c r="H42" s="2" t="n">
        <v>-86.983486</v>
      </c>
      <c r="I42" s="2" t="n">
        <v>20.708548</v>
      </c>
      <c r="J42" s="2" t="s">
        <v>70</v>
      </c>
      <c r="K42" s="2"/>
      <c r="L42" s="2" t="s">
        <v>42</v>
      </c>
      <c r="M42" s="2" t="n">
        <v>2023</v>
      </c>
      <c r="N42" s="4" t="n">
        <v>2021</v>
      </c>
      <c r="O42" s="2" t="n">
        <v>1.7683</v>
      </c>
      <c r="P42" s="2" t="n">
        <v>0.032</v>
      </c>
      <c r="Q42" s="2" t="n">
        <v>144.7</v>
      </c>
      <c r="R42" s="2" t="n">
        <f aca="false">O42-(N42-1950)/1000</f>
        <v>1.6973</v>
      </c>
      <c r="S42" s="2" t="n">
        <f aca="false">ROUNDUP(ROUND(O42,6)*10,0)/10</f>
        <v>1.8</v>
      </c>
      <c r="T42" s="2" t="n">
        <f aca="false">MAX(0.1,ROUNDUP(ROUND(R42,6)*10,0)/10)</f>
        <v>1.7</v>
      </c>
      <c r="U42" s="2" t="str">
        <f aca="false">IF(S42&lt;&gt;T42,"yes","no")</f>
        <v>yes</v>
      </c>
      <c r="V42" s="2" t="str">
        <f aca="false">IF(R42&lt;0,"yes","no")</f>
        <v>no</v>
      </c>
      <c r="W42" s="2" t="s">
        <v>43</v>
      </c>
      <c r="X42" s="2" t="s">
        <v>59</v>
      </c>
    </row>
    <row r="43" customFormat="false" ht="15" hidden="false" customHeight="false" outlineLevel="0" collapsed="false">
      <c r="A43" s="2" t="n">
        <v>365</v>
      </c>
      <c r="B43" s="2" t="s">
        <v>117</v>
      </c>
      <c r="C43" s="2" t="s">
        <v>117</v>
      </c>
      <c r="D43" s="2" t="s">
        <v>38</v>
      </c>
      <c r="E43" s="2" t="s">
        <v>39</v>
      </c>
      <c r="F43" s="2" t="s">
        <v>118</v>
      </c>
      <c r="G43" s="2" t="n">
        <v>3.8</v>
      </c>
      <c r="H43" s="2"/>
      <c r="I43" s="2"/>
      <c r="J43" s="2" t="s">
        <v>41</v>
      </c>
      <c r="K43" s="2" t="s">
        <v>119</v>
      </c>
      <c r="L43" s="2" t="s">
        <v>120</v>
      </c>
      <c r="M43" s="2" t="n">
        <v>2017</v>
      </c>
      <c r="N43" s="4" t="n">
        <v>1950</v>
      </c>
      <c r="O43" s="2" t="n">
        <v>1.81</v>
      </c>
      <c r="P43" s="2" t="n">
        <v>0.02</v>
      </c>
      <c r="Q43" s="2" t="n">
        <v>147.6</v>
      </c>
      <c r="R43" s="2" t="n">
        <f aca="false">O43-(N43-1950)/1000</f>
        <v>1.81</v>
      </c>
      <c r="S43" s="2" t="n">
        <f aca="false">ROUNDUP(ROUND(O43,6)*10,0)/10</f>
        <v>1.9</v>
      </c>
      <c r="T43" s="2" t="n">
        <f aca="false">MAX(0.1,ROUNDUP(ROUND(R43,6)*10,0)/10)</f>
        <v>1.9</v>
      </c>
      <c r="U43" s="2" t="str">
        <f aca="false">IF(S43&lt;&gt;T43,"yes","no")</f>
        <v>no</v>
      </c>
      <c r="V43" s="2" t="str">
        <f aca="false">IF(R43&lt;0,"yes","no")</f>
        <v>no</v>
      </c>
      <c r="W43" s="2" t="s">
        <v>43</v>
      </c>
      <c r="X43" s="2" t="s">
        <v>121</v>
      </c>
    </row>
    <row r="44" customFormat="false" ht="15" hidden="false" customHeight="false" outlineLevel="0" collapsed="false">
      <c r="A44" s="2" t="n">
        <v>366</v>
      </c>
      <c r="B44" s="2" t="s">
        <v>122</v>
      </c>
      <c r="C44" s="2" t="s">
        <v>122</v>
      </c>
      <c r="D44" s="2" t="s">
        <v>47</v>
      </c>
      <c r="E44" s="2" t="s">
        <v>48</v>
      </c>
      <c r="F44" s="2" t="s">
        <v>122</v>
      </c>
      <c r="G44" s="2" t="n">
        <v>-5.2</v>
      </c>
      <c r="H44" s="2" t="n">
        <v>-86.9810169999999</v>
      </c>
      <c r="I44" s="2" t="n">
        <v>20.709534</v>
      </c>
      <c r="J44" s="2" t="s">
        <v>70</v>
      </c>
      <c r="K44" s="2"/>
      <c r="L44" s="2" t="s">
        <v>42</v>
      </c>
      <c r="M44" s="2" t="n">
        <v>2023</v>
      </c>
      <c r="N44" s="4" t="n">
        <v>2021</v>
      </c>
      <c r="O44" s="2" t="n">
        <v>1.8327</v>
      </c>
      <c r="P44" s="2" t="n">
        <v>0.0242</v>
      </c>
      <c r="Q44" s="2" t="n">
        <v>145.8</v>
      </c>
      <c r="R44" s="2" t="n">
        <f aca="false">O44-(N44-1950)/1000</f>
        <v>1.7617</v>
      </c>
      <c r="S44" s="2" t="n">
        <f aca="false">ROUNDUP(ROUND(O44,6)*10,0)/10</f>
        <v>1.9</v>
      </c>
      <c r="T44" s="2" t="n">
        <f aca="false">MAX(0.1,ROUNDUP(ROUND(R44,6)*10,0)/10)</f>
        <v>1.8</v>
      </c>
      <c r="U44" s="2" t="str">
        <f aca="false">IF(S44&lt;&gt;T44,"yes","no")</f>
        <v>yes</v>
      </c>
      <c r="V44" s="2" t="str">
        <f aca="false">IF(R44&lt;0,"yes","no")</f>
        <v>no</v>
      </c>
      <c r="W44" s="2" t="s">
        <v>43</v>
      </c>
      <c r="X44" s="2" t="s">
        <v>59</v>
      </c>
    </row>
    <row r="45" customFormat="false" ht="15" hidden="false" customHeight="false" outlineLevel="0" collapsed="false">
      <c r="A45" s="2" t="n">
        <v>367</v>
      </c>
      <c r="B45" s="2" t="s">
        <v>123</v>
      </c>
      <c r="C45" s="2" t="s">
        <v>123</v>
      </c>
      <c r="D45" s="2" t="s">
        <v>47</v>
      </c>
      <c r="E45" s="2" t="s">
        <v>48</v>
      </c>
      <c r="F45" s="2" t="s">
        <v>92</v>
      </c>
      <c r="G45" s="2" t="n">
        <v>-1.31</v>
      </c>
      <c r="H45" s="2" t="n">
        <v>-86.97108</v>
      </c>
      <c r="I45" s="2" t="n">
        <v>20.717381</v>
      </c>
      <c r="J45" s="2" t="s">
        <v>50</v>
      </c>
      <c r="K45" s="2"/>
      <c r="L45" s="2" t="s">
        <v>42</v>
      </c>
      <c r="M45" s="2" t="n">
        <v>2023</v>
      </c>
      <c r="N45" s="4" t="n">
        <v>2021</v>
      </c>
      <c r="O45" s="2" t="n">
        <v>1.8597</v>
      </c>
      <c r="P45" s="2" t="n">
        <v>0.0115</v>
      </c>
      <c r="Q45" s="2" t="n">
        <v>144.8</v>
      </c>
      <c r="R45" s="2" t="n">
        <f aca="false">O45-(N45-1950)/1000</f>
        <v>1.7887</v>
      </c>
      <c r="S45" s="2" t="n">
        <f aca="false">ROUNDUP(ROUND(O45,6)*10,0)/10</f>
        <v>1.9</v>
      </c>
      <c r="T45" s="2" t="n">
        <f aca="false">MAX(0.1,ROUNDUP(ROUND(R45,6)*10,0)/10)</f>
        <v>1.8</v>
      </c>
      <c r="U45" s="2" t="str">
        <f aca="false">IF(S45&lt;&gt;T45,"yes","no")</f>
        <v>yes</v>
      </c>
      <c r="V45" s="2" t="str">
        <f aca="false">IF(R45&lt;0,"yes","no")</f>
        <v>no</v>
      </c>
      <c r="W45" s="2" t="s">
        <v>43</v>
      </c>
      <c r="X45" s="2" t="s">
        <v>59</v>
      </c>
    </row>
    <row r="46" customFormat="false" ht="15" hidden="false" customHeight="false" outlineLevel="0" collapsed="false">
      <c r="A46" s="2" t="n">
        <v>368</v>
      </c>
      <c r="B46" s="2" t="s">
        <v>124</v>
      </c>
      <c r="C46" s="2" t="s">
        <v>124</v>
      </c>
      <c r="D46" s="2" t="s">
        <v>38</v>
      </c>
      <c r="E46" s="2" t="s">
        <v>39</v>
      </c>
      <c r="F46" s="2" t="s">
        <v>115</v>
      </c>
      <c r="G46" s="2" t="n">
        <v>-1.31</v>
      </c>
      <c r="H46" s="2" t="n">
        <v>-86.95686498</v>
      </c>
      <c r="I46" s="2" t="n">
        <v>20.73196501</v>
      </c>
      <c r="J46" s="2" t="s">
        <v>41</v>
      </c>
      <c r="K46" s="2"/>
      <c r="L46" s="2" t="s">
        <v>42</v>
      </c>
      <c r="M46" s="2" t="n">
        <v>2021</v>
      </c>
      <c r="N46" s="4" t="n">
        <v>2021</v>
      </c>
      <c r="O46" s="2" t="n">
        <v>1.97981</v>
      </c>
      <c r="P46" s="2" t="n">
        <v>0.02928</v>
      </c>
      <c r="Q46" s="2" t="n">
        <v>145.8</v>
      </c>
      <c r="R46" s="2" t="n">
        <f aca="false">O46-(N46-1950)/1000</f>
        <v>1.90881</v>
      </c>
      <c r="S46" s="2" t="n">
        <f aca="false">ROUNDUP(ROUND(O46,6)*10,0)/10</f>
        <v>2</v>
      </c>
      <c r="T46" s="2" t="n">
        <f aca="false">MAX(0.1,ROUNDUP(ROUND(R46,6)*10,0)/10)</f>
        <v>2</v>
      </c>
      <c r="U46" s="2" t="str">
        <f aca="false">IF(S46&lt;&gt;T46,"yes","no")</f>
        <v>no</v>
      </c>
      <c r="V46" s="2" t="str">
        <f aca="false">IF(R46&lt;0,"yes","no")</f>
        <v>no</v>
      </c>
      <c r="W46" s="2" t="s">
        <v>43</v>
      </c>
      <c r="X46" s="2"/>
    </row>
    <row r="47" customFormat="false" ht="15" hidden="false" customHeight="false" outlineLevel="0" collapsed="false">
      <c r="A47" s="2" t="n">
        <v>369</v>
      </c>
      <c r="B47" s="2" t="s">
        <v>125</v>
      </c>
      <c r="C47" s="2" t="s">
        <v>125</v>
      </c>
      <c r="D47" s="2" t="s">
        <v>38</v>
      </c>
      <c r="E47" s="2" t="s">
        <v>39</v>
      </c>
      <c r="F47" s="2" t="s">
        <v>115</v>
      </c>
      <c r="G47" s="2" t="n">
        <v>-0.9</v>
      </c>
      <c r="H47" s="2" t="n">
        <v>-86.95686498</v>
      </c>
      <c r="I47" s="2" t="n">
        <v>20.73196501</v>
      </c>
      <c r="J47" s="2" t="s">
        <v>41</v>
      </c>
      <c r="K47" s="2"/>
      <c r="L47" s="2" t="s">
        <v>42</v>
      </c>
      <c r="M47" s="2" t="n">
        <v>2021</v>
      </c>
      <c r="N47" s="4" t="n">
        <v>2021</v>
      </c>
      <c r="O47" s="2" t="n">
        <v>2.03162</v>
      </c>
      <c r="P47" s="2" t="n">
        <v>0.02421</v>
      </c>
      <c r="Q47" s="2" t="n">
        <v>141.8</v>
      </c>
      <c r="R47" s="2" t="n">
        <f aca="false">O47-(N47-1950)/1000</f>
        <v>1.96062</v>
      </c>
      <c r="S47" s="2" t="n">
        <f aca="false">ROUNDUP(ROUND(O47,6)*10,0)/10</f>
        <v>2.1</v>
      </c>
      <c r="T47" s="2" t="n">
        <f aca="false">MAX(0.1,ROUNDUP(ROUND(R47,6)*10,0)/10)</f>
        <v>2</v>
      </c>
      <c r="U47" s="2" t="str">
        <f aca="false">IF(S47&lt;&gt;T47,"yes","no")</f>
        <v>yes</v>
      </c>
      <c r="V47" s="2" t="str">
        <f aca="false">IF(R47&lt;0,"yes","no")</f>
        <v>no</v>
      </c>
      <c r="W47" s="2" t="s">
        <v>43</v>
      </c>
      <c r="X47" s="2"/>
    </row>
    <row r="48" customFormat="false" ht="15" hidden="false" customHeight="false" outlineLevel="0" collapsed="false">
      <c r="A48" s="2" t="n">
        <v>370</v>
      </c>
      <c r="B48" s="2" t="s">
        <v>126</v>
      </c>
      <c r="C48" s="2" t="s">
        <v>126</v>
      </c>
      <c r="D48" s="2" t="s">
        <v>38</v>
      </c>
      <c r="E48" s="2" t="s">
        <v>39</v>
      </c>
      <c r="F48" s="2" t="s">
        <v>127</v>
      </c>
      <c r="G48" s="2" t="n">
        <v>-2.3</v>
      </c>
      <c r="H48" s="2" t="n">
        <v>-86.96065402</v>
      </c>
      <c r="I48" s="2" t="n">
        <v>20.72772402</v>
      </c>
      <c r="J48" s="2" t="s">
        <v>41</v>
      </c>
      <c r="K48" s="2"/>
      <c r="L48" s="2" t="s">
        <v>42</v>
      </c>
      <c r="M48" s="2" t="n">
        <v>2021</v>
      </c>
      <c r="N48" s="4" t="n">
        <v>2021</v>
      </c>
      <c r="O48" s="2" t="n">
        <v>2.06147</v>
      </c>
      <c r="P48" s="2" t="n">
        <v>0.03105</v>
      </c>
      <c r="Q48" s="2" t="n">
        <v>146.9</v>
      </c>
      <c r="R48" s="2" t="n">
        <f aca="false">O48-(N48-1950)/1000</f>
        <v>1.99047</v>
      </c>
      <c r="S48" s="2" t="n">
        <f aca="false">ROUNDUP(ROUND(O48,6)*10,0)/10</f>
        <v>2.1</v>
      </c>
      <c r="T48" s="2" t="n">
        <f aca="false">MAX(0.1,ROUNDUP(ROUND(R48,6)*10,0)/10)</f>
        <v>2</v>
      </c>
      <c r="U48" s="2" t="str">
        <f aca="false">IF(S48&lt;&gt;T48,"yes","no")</f>
        <v>yes</v>
      </c>
      <c r="V48" s="2" t="str">
        <f aca="false">IF(R48&lt;0,"yes","no")</f>
        <v>no</v>
      </c>
      <c r="W48" s="2" t="s">
        <v>43</v>
      </c>
      <c r="X48" s="2"/>
    </row>
    <row r="49" customFormat="false" ht="15" hidden="false" customHeight="false" outlineLevel="0" collapsed="false">
      <c r="A49" s="2" t="n">
        <v>371</v>
      </c>
      <c r="B49" s="2" t="s">
        <v>128</v>
      </c>
      <c r="C49" s="2" t="s">
        <v>128</v>
      </c>
      <c r="D49" s="2" t="s">
        <v>38</v>
      </c>
      <c r="E49" s="2" t="s">
        <v>39</v>
      </c>
      <c r="F49" s="2" t="s">
        <v>129</v>
      </c>
      <c r="G49" s="2" t="n">
        <v>-1.31</v>
      </c>
      <c r="H49" s="2" t="n">
        <v>-86.9871129999999</v>
      </c>
      <c r="I49" s="2" t="n">
        <v>20.706104</v>
      </c>
      <c r="J49" s="2" t="s">
        <v>41</v>
      </c>
      <c r="K49" s="2"/>
      <c r="L49" s="2" t="s">
        <v>42</v>
      </c>
      <c r="M49" s="2" t="n">
        <v>2023</v>
      </c>
      <c r="N49" s="4" t="n">
        <v>2021</v>
      </c>
      <c r="O49" s="2" t="n">
        <v>2.1322</v>
      </c>
      <c r="P49" s="2" t="n">
        <v>0.0368</v>
      </c>
      <c r="Q49" s="2" t="n">
        <v>144.9</v>
      </c>
      <c r="R49" s="2" t="n">
        <f aca="false">O49-(N49-1950)/1000</f>
        <v>2.0612</v>
      </c>
      <c r="S49" s="2" t="n">
        <f aca="false">ROUNDUP(ROUND(O49,6)*10,0)/10</f>
        <v>2.2</v>
      </c>
      <c r="T49" s="2" t="n">
        <f aca="false">MAX(0.1,ROUNDUP(ROUND(R49,6)*10,0)/10)</f>
        <v>2.1</v>
      </c>
      <c r="U49" s="2" t="str">
        <f aca="false">IF(S49&lt;&gt;T49,"yes","no")</f>
        <v>yes</v>
      </c>
      <c r="V49" s="2" t="str">
        <f aca="false">IF(R49&lt;0,"yes","no")</f>
        <v>no</v>
      </c>
      <c r="W49" s="2" t="s">
        <v>43</v>
      </c>
      <c r="X49" s="2" t="s">
        <v>59</v>
      </c>
    </row>
    <row r="50" customFormat="false" ht="15" hidden="false" customHeight="false" outlineLevel="0" collapsed="false">
      <c r="A50" s="2" t="n">
        <v>372</v>
      </c>
      <c r="B50" s="2" t="s">
        <v>130</v>
      </c>
      <c r="C50" s="2" t="s">
        <v>130</v>
      </c>
      <c r="D50" s="2" t="s">
        <v>38</v>
      </c>
      <c r="E50" s="2" t="s">
        <v>39</v>
      </c>
      <c r="F50" s="2" t="s">
        <v>115</v>
      </c>
      <c r="G50" s="2" t="n">
        <v>-0.9</v>
      </c>
      <c r="H50" s="2" t="n">
        <v>-86.95686498</v>
      </c>
      <c r="I50" s="2" t="n">
        <v>20.73196501</v>
      </c>
      <c r="J50" s="2" t="s">
        <v>41</v>
      </c>
      <c r="K50" s="2"/>
      <c r="L50" s="2" t="s">
        <v>42</v>
      </c>
      <c r="M50" s="2" t="n">
        <v>2021</v>
      </c>
      <c r="N50" s="4" t="n">
        <v>2021</v>
      </c>
      <c r="O50" s="2" t="n">
        <v>2.18223</v>
      </c>
      <c r="P50" s="2" t="n">
        <v>0.04186</v>
      </c>
      <c r="Q50" s="2" t="n">
        <v>143.9</v>
      </c>
      <c r="R50" s="2" t="n">
        <f aca="false">O50-(N50-1950)/1000</f>
        <v>2.11123</v>
      </c>
      <c r="S50" s="2" t="n">
        <f aca="false">ROUNDUP(ROUND(O50,6)*10,0)/10</f>
        <v>2.2</v>
      </c>
      <c r="T50" s="2" t="n">
        <f aca="false">MAX(0.1,ROUNDUP(ROUND(R50,6)*10,0)/10)</f>
        <v>2.2</v>
      </c>
      <c r="U50" s="2" t="str">
        <f aca="false">IF(S50&lt;&gt;T50,"yes","no")</f>
        <v>no</v>
      </c>
      <c r="V50" s="2" t="str">
        <f aca="false">IF(R50&lt;0,"yes","no")</f>
        <v>no</v>
      </c>
      <c r="W50" s="2" t="s">
        <v>43</v>
      </c>
      <c r="X50" s="2"/>
    </row>
    <row r="51" customFormat="false" ht="15" hidden="false" customHeight="false" outlineLevel="0" collapsed="false">
      <c r="A51" s="2" t="n">
        <v>373</v>
      </c>
      <c r="B51" s="2" t="s">
        <v>131</v>
      </c>
      <c r="C51" s="2" t="s">
        <v>131</v>
      </c>
      <c r="D51" s="2" t="s">
        <v>47</v>
      </c>
      <c r="E51" s="2" t="s">
        <v>48</v>
      </c>
      <c r="F51" s="2" t="s">
        <v>127</v>
      </c>
      <c r="G51" s="2" t="n">
        <v>-1.55</v>
      </c>
      <c r="H51" s="2" t="n">
        <v>-86.96065402</v>
      </c>
      <c r="I51" s="2" t="n">
        <v>20.72772402</v>
      </c>
      <c r="J51" s="2" t="s">
        <v>84</v>
      </c>
      <c r="K51" s="2"/>
      <c r="L51" s="2" t="s">
        <v>42</v>
      </c>
      <c r="M51" s="2" t="n">
        <v>2021</v>
      </c>
      <c r="N51" s="4" t="n">
        <v>2021</v>
      </c>
      <c r="O51" s="2" t="n">
        <v>2.26901</v>
      </c>
      <c r="P51" s="2" t="n">
        <v>0.03241</v>
      </c>
      <c r="Q51" s="2" t="n">
        <v>143.9</v>
      </c>
      <c r="R51" s="2" t="n">
        <f aca="false">O51-(N51-1950)/1000</f>
        <v>2.19801</v>
      </c>
      <c r="S51" s="2" t="n">
        <f aca="false">ROUNDUP(ROUND(O51,6)*10,0)/10</f>
        <v>2.3</v>
      </c>
      <c r="T51" s="2" t="n">
        <f aca="false">MAX(0.1,ROUNDUP(ROUND(R51,6)*10,0)/10)</f>
        <v>2.2</v>
      </c>
      <c r="U51" s="2" t="str">
        <f aca="false">IF(S51&lt;&gt;T51,"yes","no")</f>
        <v>yes</v>
      </c>
      <c r="V51" s="2" t="str">
        <f aca="false">IF(R51&lt;0,"yes","no")</f>
        <v>no</v>
      </c>
      <c r="W51" s="2" t="s">
        <v>43</v>
      </c>
      <c r="X51" s="2"/>
    </row>
    <row r="52" customFormat="false" ht="15" hidden="false" customHeight="false" outlineLevel="0" collapsed="false">
      <c r="A52" s="2" t="n">
        <v>374</v>
      </c>
      <c r="B52" s="2" t="s">
        <v>132</v>
      </c>
      <c r="C52" s="2" t="s">
        <v>132</v>
      </c>
      <c r="D52" s="2" t="s">
        <v>38</v>
      </c>
      <c r="E52" s="2" t="s">
        <v>39</v>
      </c>
      <c r="F52" s="2" t="s">
        <v>133</v>
      </c>
      <c r="G52" s="2" t="n">
        <v>2</v>
      </c>
      <c r="H52" s="2"/>
      <c r="I52" s="2"/>
      <c r="J52" s="2" t="s">
        <v>41</v>
      </c>
      <c r="K52" s="2" t="s">
        <v>119</v>
      </c>
      <c r="L52" s="2" t="s">
        <v>120</v>
      </c>
      <c r="M52" s="2" t="n">
        <v>2017</v>
      </c>
      <c r="N52" s="4" t="n">
        <v>1950</v>
      </c>
      <c r="O52" s="2" t="n">
        <v>2.43</v>
      </c>
      <c r="P52" s="2" t="n">
        <v>0.02</v>
      </c>
      <c r="Q52" s="2" t="n">
        <v>147.6</v>
      </c>
      <c r="R52" s="2" t="n">
        <f aca="false">O52-(N52-1950)/1000</f>
        <v>2.43</v>
      </c>
      <c r="S52" s="2" t="n">
        <f aca="false">ROUNDUP(ROUND(O52,6)*10,0)/10</f>
        <v>2.5</v>
      </c>
      <c r="T52" s="2" t="n">
        <f aca="false">MAX(0.1,ROUNDUP(ROUND(R52,6)*10,0)/10)</f>
        <v>2.5</v>
      </c>
      <c r="U52" s="2" t="str">
        <f aca="false">IF(S52&lt;&gt;T52,"yes","no")</f>
        <v>no</v>
      </c>
      <c r="V52" s="2" t="str">
        <f aca="false">IF(R52&lt;0,"yes","no")</f>
        <v>no</v>
      </c>
      <c r="W52" s="2" t="s">
        <v>43</v>
      </c>
      <c r="X52" s="2" t="s">
        <v>121</v>
      </c>
    </row>
    <row r="53" customFormat="false" ht="15" hidden="false" customHeight="false" outlineLevel="0" collapsed="false">
      <c r="A53" s="2" t="n">
        <v>375</v>
      </c>
      <c r="B53" s="2" t="s">
        <v>134</v>
      </c>
      <c r="C53" s="2" t="s">
        <v>134</v>
      </c>
      <c r="D53" s="2" t="s">
        <v>38</v>
      </c>
      <c r="E53" s="2" t="s">
        <v>39</v>
      </c>
      <c r="F53" s="2" t="s">
        <v>135</v>
      </c>
      <c r="G53" s="2" t="n">
        <v>-1.68</v>
      </c>
      <c r="H53" s="2" t="n">
        <v>-86.9637319999999</v>
      </c>
      <c r="I53" s="2" t="n">
        <v>20.724375</v>
      </c>
      <c r="J53" s="2" t="s">
        <v>41</v>
      </c>
      <c r="K53" s="2"/>
      <c r="L53" s="2" t="s">
        <v>42</v>
      </c>
      <c r="M53" s="2" t="n">
        <v>2023</v>
      </c>
      <c r="N53" s="4" t="n">
        <v>2021</v>
      </c>
      <c r="O53" s="2" t="n">
        <v>2.4453</v>
      </c>
      <c r="P53" s="2" t="n">
        <v>0.044</v>
      </c>
      <c r="Q53" s="2" t="n">
        <v>147</v>
      </c>
      <c r="R53" s="2" t="n">
        <f aca="false">O53-(N53-1950)/1000</f>
        <v>2.3743</v>
      </c>
      <c r="S53" s="2" t="n">
        <f aca="false">ROUNDUP(ROUND(O53,6)*10,0)/10</f>
        <v>2.5</v>
      </c>
      <c r="T53" s="2" t="n">
        <f aca="false">MAX(0.1,ROUNDUP(ROUND(R53,6)*10,0)/10)</f>
        <v>2.4</v>
      </c>
      <c r="U53" s="2" t="str">
        <f aca="false">IF(S53&lt;&gt;T53,"yes","no")</f>
        <v>yes</v>
      </c>
      <c r="V53" s="2" t="str">
        <f aca="false">IF(R53&lt;0,"yes","no")</f>
        <v>no</v>
      </c>
      <c r="W53" s="2" t="s">
        <v>43</v>
      </c>
      <c r="X53" s="2" t="s">
        <v>59</v>
      </c>
    </row>
    <row r="54" customFormat="false" ht="15" hidden="false" customHeight="false" outlineLevel="0" collapsed="false">
      <c r="A54" s="2" t="n">
        <v>376</v>
      </c>
      <c r="B54" s="2" t="s">
        <v>136</v>
      </c>
      <c r="C54" s="2" t="s">
        <v>136</v>
      </c>
      <c r="D54" s="2" t="s">
        <v>47</v>
      </c>
      <c r="E54" s="2" t="s">
        <v>48</v>
      </c>
      <c r="F54" s="2" t="s">
        <v>137</v>
      </c>
      <c r="G54" s="2" t="n">
        <v>-0.83</v>
      </c>
      <c r="H54" s="2" t="n">
        <v>-86.98151196</v>
      </c>
      <c r="I54" s="2" t="n">
        <v>20.710232</v>
      </c>
      <c r="J54" s="2" t="s">
        <v>70</v>
      </c>
      <c r="K54" s="2"/>
      <c r="L54" s="2" t="s">
        <v>42</v>
      </c>
      <c r="M54" s="2" t="n">
        <v>2021</v>
      </c>
      <c r="N54" s="4" t="n">
        <v>2021</v>
      </c>
      <c r="O54" s="2" t="n">
        <v>2.46195</v>
      </c>
      <c r="P54" s="2" t="n">
        <v>0.03961</v>
      </c>
      <c r="Q54" s="2" t="n">
        <v>142</v>
      </c>
      <c r="R54" s="2" t="n">
        <f aca="false">O54-(N54-1950)/1000</f>
        <v>2.39095</v>
      </c>
      <c r="S54" s="2" t="n">
        <f aca="false">ROUNDUP(ROUND(O54,6)*10,0)/10</f>
        <v>2.5</v>
      </c>
      <c r="T54" s="2" t="n">
        <f aca="false">MAX(0.1,ROUNDUP(ROUND(R54,6)*10,0)/10)</f>
        <v>2.4</v>
      </c>
      <c r="U54" s="2" t="str">
        <f aca="false">IF(S54&lt;&gt;T54,"yes","no")</f>
        <v>yes</v>
      </c>
      <c r="V54" s="2" t="str">
        <f aca="false">IF(R54&lt;0,"yes","no")</f>
        <v>no</v>
      </c>
      <c r="W54" s="2" t="s">
        <v>43</v>
      </c>
      <c r="X54" s="2"/>
    </row>
    <row r="55" customFormat="false" ht="15" hidden="false" customHeight="false" outlineLevel="0" collapsed="false">
      <c r="A55" s="2" t="n">
        <v>377</v>
      </c>
      <c r="B55" s="2" t="s">
        <v>138</v>
      </c>
      <c r="C55" s="2" t="s">
        <v>138</v>
      </c>
      <c r="D55" s="2" t="s">
        <v>38</v>
      </c>
      <c r="E55" s="2" t="s">
        <v>39</v>
      </c>
      <c r="F55" s="2" t="s">
        <v>88</v>
      </c>
      <c r="G55" s="2" t="n">
        <v>-1.6</v>
      </c>
      <c r="H55" s="2" t="n">
        <v>-86.97018701</v>
      </c>
      <c r="I55" s="2" t="n">
        <v>20.71939199</v>
      </c>
      <c r="J55" s="2" t="s">
        <v>41</v>
      </c>
      <c r="K55" s="2"/>
      <c r="L55" s="2" t="s">
        <v>42</v>
      </c>
      <c r="M55" s="2" t="n">
        <v>2021</v>
      </c>
      <c r="N55" s="4" t="n">
        <v>2021</v>
      </c>
      <c r="O55" s="2" t="n">
        <v>2.47161</v>
      </c>
      <c r="P55" s="2" t="n">
        <v>0.04041</v>
      </c>
      <c r="Q55" s="2" t="n">
        <v>147</v>
      </c>
      <c r="R55" s="2" t="n">
        <f aca="false">O55-(N55-1950)/1000</f>
        <v>2.40061</v>
      </c>
      <c r="S55" s="2" t="n">
        <f aca="false">ROUNDUP(ROUND(O55,6)*10,0)/10</f>
        <v>2.5</v>
      </c>
      <c r="T55" s="2" t="n">
        <f aca="false">MAX(0.1,ROUNDUP(ROUND(R55,6)*10,0)/10)</f>
        <v>2.5</v>
      </c>
      <c r="U55" s="2" t="str">
        <f aca="false">IF(S55&lt;&gt;T55,"yes","no")</f>
        <v>no</v>
      </c>
      <c r="V55" s="2" t="str">
        <f aca="false">IF(R55&lt;0,"yes","no")</f>
        <v>no</v>
      </c>
      <c r="W55" s="2" t="s">
        <v>43</v>
      </c>
      <c r="X55" s="2"/>
    </row>
    <row r="56" customFormat="false" ht="15" hidden="false" customHeight="false" outlineLevel="0" collapsed="false">
      <c r="A56" s="2" t="n">
        <v>378</v>
      </c>
      <c r="B56" s="2" t="s">
        <v>139</v>
      </c>
      <c r="C56" s="2" t="s">
        <v>139</v>
      </c>
      <c r="D56" s="2" t="s">
        <v>47</v>
      </c>
      <c r="E56" s="2" t="s">
        <v>48</v>
      </c>
      <c r="F56" s="2" t="s">
        <v>140</v>
      </c>
      <c r="G56" s="2" t="n">
        <v>-2.84</v>
      </c>
      <c r="H56" s="2" t="n">
        <v>-86.97603699</v>
      </c>
      <c r="I56" s="2" t="n">
        <v>20.71443804</v>
      </c>
      <c r="J56" s="2" t="s">
        <v>141</v>
      </c>
      <c r="K56" s="2"/>
      <c r="L56" s="2" t="s">
        <v>42</v>
      </c>
      <c r="M56" s="2" t="n">
        <v>2021</v>
      </c>
      <c r="N56" s="4" t="n">
        <v>2021</v>
      </c>
      <c r="O56" s="2" t="n">
        <v>2.69516</v>
      </c>
      <c r="P56" s="2" t="n">
        <v>0.02965</v>
      </c>
      <c r="Q56" s="2" t="n">
        <v>146.1</v>
      </c>
      <c r="R56" s="2" t="n">
        <f aca="false">O56-(N56-1950)/1000</f>
        <v>2.62416</v>
      </c>
      <c r="S56" s="2" t="n">
        <f aca="false">ROUNDUP(ROUND(O56,6)*10,0)/10</f>
        <v>2.7</v>
      </c>
      <c r="T56" s="2" t="n">
        <f aca="false">MAX(0.1,ROUNDUP(ROUND(R56,6)*10,0)/10)</f>
        <v>2.7</v>
      </c>
      <c r="U56" s="2" t="str">
        <f aca="false">IF(S56&lt;&gt;T56,"yes","no")</f>
        <v>no</v>
      </c>
      <c r="V56" s="2" t="str">
        <f aca="false">IF(R56&lt;0,"yes","no")</f>
        <v>no</v>
      </c>
      <c r="W56" s="2" t="s">
        <v>43</v>
      </c>
      <c r="X56" s="2"/>
    </row>
    <row r="57" customFormat="false" ht="15" hidden="false" customHeight="false" outlineLevel="0" collapsed="false">
      <c r="A57" s="2" t="n">
        <v>379</v>
      </c>
      <c r="B57" s="2" t="s">
        <v>142</v>
      </c>
      <c r="C57" s="2" t="s">
        <v>142</v>
      </c>
      <c r="D57" s="2" t="s">
        <v>38</v>
      </c>
      <c r="E57" s="2" t="s">
        <v>39</v>
      </c>
      <c r="F57" s="2" t="s">
        <v>142</v>
      </c>
      <c r="G57" s="2" t="n">
        <v>-1.6</v>
      </c>
      <c r="H57" s="2" t="n">
        <v>-86.969857</v>
      </c>
      <c r="I57" s="2" t="n">
        <v>20.71895</v>
      </c>
      <c r="J57" s="2" t="s">
        <v>41</v>
      </c>
      <c r="K57" s="2"/>
      <c r="L57" s="2" t="s">
        <v>42</v>
      </c>
      <c r="M57" s="2" t="n">
        <v>2023</v>
      </c>
      <c r="N57" s="4" t="n">
        <v>2021</v>
      </c>
      <c r="O57" s="2" t="n">
        <v>2.884</v>
      </c>
      <c r="P57" s="2" t="n">
        <v>0.0223</v>
      </c>
      <c r="Q57" s="2" t="n">
        <v>146.2</v>
      </c>
      <c r="R57" s="2" t="n">
        <f aca="false">O57-(N57-1950)/1000</f>
        <v>2.813</v>
      </c>
      <c r="S57" s="2" t="n">
        <f aca="false">ROUNDUP(ROUND(O57,6)*10,0)/10</f>
        <v>2.9</v>
      </c>
      <c r="T57" s="2" t="n">
        <f aca="false">MAX(0.1,ROUNDUP(ROUND(R57,6)*10,0)/10)</f>
        <v>2.9</v>
      </c>
      <c r="U57" s="2" t="str">
        <f aca="false">IF(S57&lt;&gt;T57,"yes","no")</f>
        <v>no</v>
      </c>
      <c r="V57" s="2" t="str">
        <f aca="false">IF(R57&lt;0,"yes","no")</f>
        <v>no</v>
      </c>
      <c r="W57" s="2" t="s">
        <v>43</v>
      </c>
      <c r="X57" s="2" t="s">
        <v>59</v>
      </c>
    </row>
    <row r="58" customFormat="false" ht="15" hidden="false" customHeight="false" outlineLevel="0" collapsed="false">
      <c r="A58" s="2" t="n">
        <v>380</v>
      </c>
      <c r="B58" s="2" t="s">
        <v>143</v>
      </c>
      <c r="C58" s="2" t="s">
        <v>143</v>
      </c>
      <c r="D58" s="2" t="s">
        <v>38</v>
      </c>
      <c r="E58" s="2" t="s">
        <v>39</v>
      </c>
      <c r="F58" s="2" t="s">
        <v>144</v>
      </c>
      <c r="G58" s="2" t="n">
        <v>3</v>
      </c>
      <c r="H58" s="2"/>
      <c r="I58" s="2"/>
      <c r="J58" s="2" t="s">
        <v>41</v>
      </c>
      <c r="K58" s="2" t="s">
        <v>119</v>
      </c>
      <c r="L58" s="2" t="s">
        <v>120</v>
      </c>
      <c r="M58" s="2" t="n">
        <v>2017</v>
      </c>
      <c r="N58" s="4" t="n">
        <v>1950</v>
      </c>
      <c r="O58" s="2" t="n">
        <v>2.93</v>
      </c>
      <c r="P58" s="2" t="n">
        <v>0.03</v>
      </c>
      <c r="Q58" s="2" t="n">
        <v>148.5</v>
      </c>
      <c r="R58" s="2" t="n">
        <f aca="false">O58-(N58-1950)/1000</f>
        <v>2.93</v>
      </c>
      <c r="S58" s="2" t="n">
        <f aca="false">ROUNDUP(ROUND(O58,6)*10,0)/10</f>
        <v>3</v>
      </c>
      <c r="T58" s="2" t="n">
        <f aca="false">MAX(0.1,ROUNDUP(ROUND(R58,6)*10,0)/10)</f>
        <v>3</v>
      </c>
      <c r="U58" s="2" t="str">
        <f aca="false">IF(S58&lt;&gt;T58,"yes","no")</f>
        <v>no</v>
      </c>
      <c r="V58" s="2" t="str">
        <f aca="false">IF(R58&lt;0,"yes","no")</f>
        <v>no</v>
      </c>
      <c r="W58" s="2" t="s">
        <v>43</v>
      </c>
      <c r="X58" s="2" t="s">
        <v>121</v>
      </c>
    </row>
    <row r="59" customFormat="false" ht="15" hidden="false" customHeight="false" outlineLevel="0" collapsed="false">
      <c r="A59" s="2" t="n">
        <v>381</v>
      </c>
      <c r="B59" s="2" t="s">
        <v>145</v>
      </c>
      <c r="C59" s="2" t="s">
        <v>145</v>
      </c>
      <c r="D59" s="2" t="s">
        <v>38</v>
      </c>
      <c r="E59" s="2" t="s">
        <v>39</v>
      </c>
      <c r="F59" s="2" t="s">
        <v>145</v>
      </c>
      <c r="G59" s="2" t="n">
        <v>-1.88</v>
      </c>
      <c r="H59" s="2" t="n">
        <v>-86.9677279999999</v>
      </c>
      <c r="I59" s="2" t="n">
        <v>20.721353</v>
      </c>
      <c r="J59" s="2" t="s">
        <v>41</v>
      </c>
      <c r="K59" s="2"/>
      <c r="L59" s="2" t="s">
        <v>42</v>
      </c>
      <c r="M59" s="2" t="n">
        <v>2023</v>
      </c>
      <c r="N59" s="4" t="n">
        <v>2021</v>
      </c>
      <c r="O59" s="2" t="n">
        <v>3.0433</v>
      </c>
      <c r="P59" s="2" t="n">
        <v>0.0307</v>
      </c>
      <c r="Q59" s="2" t="n">
        <v>154.3</v>
      </c>
      <c r="R59" s="2" t="n">
        <f aca="false">O59-(N59-1950)/1000</f>
        <v>2.9723</v>
      </c>
      <c r="S59" s="2" t="n">
        <f aca="false">ROUNDUP(ROUND(O59,6)*10,0)/10</f>
        <v>3.1</v>
      </c>
      <c r="T59" s="2" t="n">
        <f aca="false">MAX(0.1,ROUNDUP(ROUND(R59,6)*10,0)/10)</f>
        <v>3</v>
      </c>
      <c r="U59" s="2" t="str">
        <f aca="false">IF(S59&lt;&gt;T59,"yes","no")</f>
        <v>yes</v>
      </c>
      <c r="V59" s="2" t="str">
        <f aca="false">IF(R59&lt;0,"yes","no")</f>
        <v>no</v>
      </c>
      <c r="W59" s="2" t="s">
        <v>43</v>
      </c>
      <c r="X59" s="2" t="s">
        <v>59</v>
      </c>
    </row>
    <row r="60" customFormat="false" ht="15" hidden="false" customHeight="false" outlineLevel="0" collapsed="false">
      <c r="A60" s="2" t="n">
        <v>382</v>
      </c>
      <c r="B60" s="2" t="s">
        <v>146</v>
      </c>
      <c r="C60" s="2" t="s">
        <v>146</v>
      </c>
      <c r="D60" s="2" t="s">
        <v>38</v>
      </c>
      <c r="E60" s="2" t="s">
        <v>39</v>
      </c>
      <c r="F60" s="2" t="s">
        <v>147</v>
      </c>
      <c r="G60" s="2" t="n">
        <v>-1.53</v>
      </c>
      <c r="H60" s="2" t="n">
        <v>-86.971644</v>
      </c>
      <c r="I60" s="2" t="n">
        <v>20.717938</v>
      </c>
      <c r="J60" s="2" t="s">
        <v>41</v>
      </c>
      <c r="K60" s="2"/>
      <c r="L60" s="2" t="s">
        <v>42</v>
      </c>
      <c r="M60" s="2" t="n">
        <v>2023</v>
      </c>
      <c r="N60" s="4" t="n">
        <v>2021</v>
      </c>
      <c r="O60" s="2" t="n">
        <v>3.1609</v>
      </c>
      <c r="P60" s="2" t="n">
        <v>0.02</v>
      </c>
      <c r="Q60" s="2" t="n">
        <v>144.3</v>
      </c>
      <c r="R60" s="2" t="n">
        <f aca="false">O60-(N60-1950)/1000</f>
        <v>3.0899</v>
      </c>
      <c r="S60" s="2" t="n">
        <f aca="false">ROUNDUP(ROUND(O60,6)*10,0)/10</f>
        <v>3.2</v>
      </c>
      <c r="T60" s="2" t="n">
        <f aca="false">MAX(0.1,ROUNDUP(ROUND(R60,6)*10,0)/10)</f>
        <v>3.1</v>
      </c>
      <c r="U60" s="2" t="str">
        <f aca="false">IF(S60&lt;&gt;T60,"yes","no")</f>
        <v>yes</v>
      </c>
      <c r="V60" s="2" t="str">
        <f aca="false">IF(R60&lt;0,"yes","no")</f>
        <v>no</v>
      </c>
      <c r="W60" s="2" t="s">
        <v>43</v>
      </c>
      <c r="X60" s="2" t="s">
        <v>59</v>
      </c>
    </row>
    <row r="61" customFormat="false" ht="15" hidden="false" customHeight="false" outlineLevel="0" collapsed="false">
      <c r="A61" s="2" t="n">
        <v>383</v>
      </c>
      <c r="B61" s="2" t="s">
        <v>148</v>
      </c>
      <c r="C61" s="2" t="s">
        <v>148</v>
      </c>
      <c r="D61" s="2" t="s">
        <v>38</v>
      </c>
      <c r="E61" s="2" t="s">
        <v>39</v>
      </c>
      <c r="F61" s="2" t="s">
        <v>105</v>
      </c>
      <c r="G61" s="2" t="n">
        <v>-1.6</v>
      </c>
      <c r="H61" s="2" t="n">
        <v>-86.9741628323073</v>
      </c>
      <c r="I61" s="2" t="n">
        <v>20.7160313144822</v>
      </c>
      <c r="J61" s="2" t="s">
        <v>75</v>
      </c>
      <c r="K61" s="2"/>
      <c r="L61" s="2" t="s">
        <v>42</v>
      </c>
      <c r="M61" s="2" t="n">
        <v>2023</v>
      </c>
      <c r="N61" s="4" t="n">
        <v>2021</v>
      </c>
      <c r="O61" s="2" t="n">
        <v>3.1941</v>
      </c>
      <c r="P61" s="2" t="n">
        <v>0.0373</v>
      </c>
      <c r="Q61" s="2" t="n">
        <v>143.3</v>
      </c>
      <c r="R61" s="2" t="n">
        <f aca="false">O61-(N61-1950)/1000</f>
        <v>3.1231</v>
      </c>
      <c r="S61" s="2" t="n">
        <f aca="false">ROUNDUP(ROUND(O61,6)*10,0)/10</f>
        <v>3.2</v>
      </c>
      <c r="T61" s="2" t="n">
        <f aca="false">MAX(0.1,ROUNDUP(ROUND(R61,6)*10,0)/10)</f>
        <v>3.2</v>
      </c>
      <c r="U61" s="2" t="str">
        <f aca="false">IF(S61&lt;&gt;T61,"yes","no")</f>
        <v>no</v>
      </c>
      <c r="V61" s="2" t="str">
        <f aca="false">IF(R61&lt;0,"yes","no")</f>
        <v>no</v>
      </c>
      <c r="W61" s="2" t="s">
        <v>43</v>
      </c>
      <c r="X61" s="2" t="s">
        <v>59</v>
      </c>
    </row>
    <row r="62" customFormat="false" ht="15" hidden="false" customHeight="false" outlineLevel="0" collapsed="false">
      <c r="A62" s="2" t="n">
        <v>384</v>
      </c>
      <c r="B62" s="2" t="s">
        <v>149</v>
      </c>
      <c r="C62" s="2" t="s">
        <v>149</v>
      </c>
      <c r="D62" s="2" t="s">
        <v>38</v>
      </c>
      <c r="E62" s="2" t="s">
        <v>39</v>
      </c>
      <c r="F62" s="2" t="s">
        <v>140</v>
      </c>
      <c r="G62" s="2" t="n">
        <v>-1.42</v>
      </c>
      <c r="H62" s="2" t="n">
        <v>-86.97603699</v>
      </c>
      <c r="I62" s="2" t="n">
        <v>20.71443804</v>
      </c>
      <c r="J62" s="2" t="s">
        <v>41</v>
      </c>
      <c r="K62" s="2"/>
      <c r="L62" s="2" t="s">
        <v>42</v>
      </c>
      <c r="M62" s="2" t="n">
        <v>2021</v>
      </c>
      <c r="N62" s="4" t="n">
        <v>2021</v>
      </c>
      <c r="O62" s="2" t="n">
        <v>3.23383</v>
      </c>
      <c r="P62" s="2" t="n">
        <v>0.07142</v>
      </c>
      <c r="Q62" s="2" t="n">
        <v>147.3</v>
      </c>
      <c r="R62" s="2" t="n">
        <f aca="false">O62-(N62-1950)/1000</f>
        <v>3.16283</v>
      </c>
      <c r="S62" s="2" t="n">
        <f aca="false">ROUNDUP(ROUND(O62,6)*10,0)/10</f>
        <v>3.3</v>
      </c>
      <c r="T62" s="2" t="n">
        <f aca="false">MAX(0.1,ROUNDUP(ROUND(R62,6)*10,0)/10)</f>
        <v>3.2</v>
      </c>
      <c r="U62" s="2" t="str">
        <f aca="false">IF(S62&lt;&gt;T62,"yes","no")</f>
        <v>yes</v>
      </c>
      <c r="V62" s="2" t="str">
        <f aca="false">IF(R62&lt;0,"yes","no")</f>
        <v>no</v>
      </c>
      <c r="W62" s="2" t="s">
        <v>43</v>
      </c>
      <c r="X62" s="2"/>
    </row>
    <row r="63" customFormat="false" ht="15" hidden="false" customHeight="false" outlineLevel="0" collapsed="false">
      <c r="A63" s="2" t="n">
        <v>385</v>
      </c>
      <c r="B63" s="2" t="s">
        <v>150</v>
      </c>
      <c r="C63" s="2" t="s">
        <v>150</v>
      </c>
      <c r="D63" s="2" t="s">
        <v>38</v>
      </c>
      <c r="E63" s="2" t="s">
        <v>39</v>
      </c>
      <c r="F63" s="2" t="s">
        <v>151</v>
      </c>
      <c r="G63" s="2" t="n">
        <v>-0.78</v>
      </c>
      <c r="H63" s="2" t="n">
        <v>-86.965725</v>
      </c>
      <c r="I63" s="2" t="n">
        <v>20.722877</v>
      </c>
      <c r="J63" s="2" t="s">
        <v>41</v>
      </c>
      <c r="K63" s="2"/>
      <c r="L63" s="2" t="s">
        <v>42</v>
      </c>
      <c r="M63" s="2" t="n">
        <v>2023</v>
      </c>
      <c r="N63" s="4" t="n">
        <v>2021</v>
      </c>
      <c r="O63" s="2" t="n">
        <v>3.2713</v>
      </c>
      <c r="P63" s="2" t="n">
        <v>0.0268</v>
      </c>
      <c r="Q63" s="2" t="n">
        <v>145.3</v>
      </c>
      <c r="R63" s="2" t="n">
        <f aca="false">O63-(N63-1950)/1000</f>
        <v>3.2003</v>
      </c>
      <c r="S63" s="2" t="n">
        <f aca="false">ROUNDUP(ROUND(O63,6)*10,0)/10</f>
        <v>3.3</v>
      </c>
      <c r="T63" s="2" t="n">
        <f aca="false">MAX(0.1,ROUNDUP(ROUND(R63,6)*10,0)/10)</f>
        <v>3.3</v>
      </c>
      <c r="U63" s="2" t="str">
        <f aca="false">IF(S63&lt;&gt;T63,"yes","no")</f>
        <v>no</v>
      </c>
      <c r="V63" s="2" t="str">
        <f aca="false">IF(R63&lt;0,"yes","no")</f>
        <v>no</v>
      </c>
      <c r="W63" s="2" t="s">
        <v>43</v>
      </c>
      <c r="X63" s="2" t="s">
        <v>59</v>
      </c>
    </row>
    <row r="64" customFormat="false" ht="15" hidden="false" customHeight="false" outlineLevel="0" collapsed="false">
      <c r="A64" s="2" t="n">
        <v>386</v>
      </c>
      <c r="B64" s="2" t="s">
        <v>152</v>
      </c>
      <c r="C64" s="2" t="s">
        <v>152</v>
      </c>
      <c r="D64" s="2" t="s">
        <v>38</v>
      </c>
      <c r="E64" s="2" t="s">
        <v>39</v>
      </c>
      <c r="F64" s="2" t="s">
        <v>153</v>
      </c>
      <c r="G64" s="2" t="n">
        <v>-0.78</v>
      </c>
      <c r="H64" s="2" t="n">
        <v>-86.96946398</v>
      </c>
      <c r="I64" s="2" t="n">
        <v>20.72000102</v>
      </c>
      <c r="J64" s="2" t="s">
        <v>41</v>
      </c>
      <c r="K64" s="2"/>
      <c r="L64" s="2" t="s">
        <v>42</v>
      </c>
      <c r="M64" s="2" t="n">
        <v>2021</v>
      </c>
      <c r="N64" s="4" t="n">
        <v>2021</v>
      </c>
      <c r="O64" s="2" t="n">
        <v>3.28179</v>
      </c>
      <c r="P64" s="2" t="n">
        <v>0.04077</v>
      </c>
      <c r="Q64" s="2" t="n">
        <v>150.4</v>
      </c>
      <c r="R64" s="2" t="n">
        <f aca="false">O64-(N64-1950)/1000</f>
        <v>3.21079</v>
      </c>
      <c r="S64" s="2" t="n">
        <f aca="false">ROUNDUP(ROUND(O64,6)*10,0)/10</f>
        <v>3.3</v>
      </c>
      <c r="T64" s="2" t="n">
        <f aca="false">MAX(0.1,ROUNDUP(ROUND(R64,6)*10,0)/10)</f>
        <v>3.3</v>
      </c>
      <c r="U64" s="2" t="str">
        <f aca="false">IF(S64&lt;&gt;T64,"yes","no")</f>
        <v>no</v>
      </c>
      <c r="V64" s="2" t="str">
        <f aca="false">IF(R64&lt;0,"yes","no")</f>
        <v>no</v>
      </c>
      <c r="W64" s="2" t="s">
        <v>43</v>
      </c>
      <c r="X64" s="2"/>
    </row>
    <row r="65" customFormat="false" ht="15" hidden="false" customHeight="false" outlineLevel="0" collapsed="false">
      <c r="A65" s="2" t="n">
        <v>387</v>
      </c>
      <c r="B65" s="2" t="s">
        <v>154</v>
      </c>
      <c r="C65" s="2" t="s">
        <v>154</v>
      </c>
      <c r="D65" s="2" t="s">
        <v>47</v>
      </c>
      <c r="E65" s="2" t="s">
        <v>48</v>
      </c>
      <c r="F65" s="2" t="s">
        <v>153</v>
      </c>
      <c r="G65" s="2" t="n">
        <v>-1.05</v>
      </c>
      <c r="H65" s="2" t="n">
        <v>-86.96946398</v>
      </c>
      <c r="I65" s="2" t="n">
        <v>20.72000102</v>
      </c>
      <c r="J65" s="2" t="s">
        <v>141</v>
      </c>
      <c r="K65" s="2"/>
      <c r="L65" s="2" t="s">
        <v>42</v>
      </c>
      <c r="M65" s="2" t="n">
        <v>2021</v>
      </c>
      <c r="N65" s="4" t="n">
        <v>2021</v>
      </c>
      <c r="O65" s="2" t="n">
        <v>3.32376</v>
      </c>
      <c r="P65" s="2" t="n">
        <v>0.03569</v>
      </c>
      <c r="Q65" s="2" t="n">
        <v>155.5</v>
      </c>
      <c r="R65" s="2" t="n">
        <f aca="false">O65-(N65-1950)/1000</f>
        <v>3.25276</v>
      </c>
      <c r="S65" s="2" t="n">
        <f aca="false">ROUNDUP(ROUND(O65,6)*10,0)/10</f>
        <v>3.4</v>
      </c>
      <c r="T65" s="2" t="n">
        <f aca="false">MAX(0.1,ROUNDUP(ROUND(R65,6)*10,0)/10)</f>
        <v>3.3</v>
      </c>
      <c r="U65" s="2" t="str">
        <f aca="false">IF(S65&lt;&gt;T65,"yes","no")</f>
        <v>yes</v>
      </c>
      <c r="V65" s="2" t="str">
        <f aca="false">IF(R65&lt;0,"yes","no")</f>
        <v>no</v>
      </c>
      <c r="W65" s="2" t="s">
        <v>43</v>
      </c>
      <c r="X65" s="2"/>
    </row>
    <row r="66" customFormat="false" ht="15" hidden="false" customHeight="false" outlineLevel="0" collapsed="false">
      <c r="A66" s="2" t="n">
        <v>388</v>
      </c>
      <c r="B66" s="2" t="s">
        <v>155</v>
      </c>
      <c r="C66" s="2" t="s">
        <v>155</v>
      </c>
      <c r="D66" s="2" t="s">
        <v>38</v>
      </c>
      <c r="E66" s="2" t="s">
        <v>39</v>
      </c>
      <c r="F66" s="2" t="s">
        <v>155</v>
      </c>
      <c r="G66" s="2" t="n">
        <v>-4.57</v>
      </c>
      <c r="H66" s="2" t="n">
        <v>-86.95844</v>
      </c>
      <c r="I66" s="2" t="n">
        <v>20.729955</v>
      </c>
      <c r="J66" s="2" t="s">
        <v>41</v>
      </c>
      <c r="K66" s="2"/>
      <c r="L66" s="2" t="s">
        <v>42</v>
      </c>
      <c r="M66" s="2" t="n">
        <v>2023</v>
      </c>
      <c r="N66" s="4" t="n">
        <v>2021</v>
      </c>
      <c r="O66" s="2" t="n">
        <v>3.3474</v>
      </c>
      <c r="P66" s="2" t="n">
        <v>0.0384</v>
      </c>
      <c r="Q66" s="2" t="n">
        <v>144.4</v>
      </c>
      <c r="R66" s="2" t="n">
        <f aca="false">O66-(N66-1950)/1000</f>
        <v>3.2764</v>
      </c>
      <c r="S66" s="2" t="n">
        <f aca="false">ROUNDUP(ROUND(O66,6)*10,0)/10</f>
        <v>3.4</v>
      </c>
      <c r="T66" s="2" t="n">
        <f aca="false">MAX(0.1,ROUNDUP(ROUND(R66,6)*10,0)/10)</f>
        <v>3.3</v>
      </c>
      <c r="U66" s="2" t="str">
        <f aca="false">IF(S66&lt;&gt;T66,"yes","no")</f>
        <v>yes</v>
      </c>
      <c r="V66" s="2" t="str">
        <f aca="false">IF(R66&lt;0,"yes","no")</f>
        <v>no</v>
      </c>
      <c r="W66" s="2" t="s">
        <v>43</v>
      </c>
      <c r="X66" s="2" t="s">
        <v>59</v>
      </c>
    </row>
    <row r="67" customFormat="false" ht="15" hidden="false" customHeight="false" outlineLevel="0" collapsed="false">
      <c r="A67" s="2" t="n">
        <v>389</v>
      </c>
      <c r="B67" s="2" t="s">
        <v>156</v>
      </c>
      <c r="C67" s="2" t="s">
        <v>156</v>
      </c>
      <c r="D67" s="2" t="s">
        <v>38</v>
      </c>
      <c r="E67" s="2" t="s">
        <v>39</v>
      </c>
      <c r="F67" s="2" t="s">
        <v>157</v>
      </c>
      <c r="G67" s="2" t="n">
        <v>-2.11</v>
      </c>
      <c r="H67" s="2" t="n">
        <v>-86.969926</v>
      </c>
      <c r="I67" s="2" t="n">
        <v>20.718432</v>
      </c>
      <c r="J67" s="2" t="s">
        <v>41</v>
      </c>
      <c r="K67" s="2"/>
      <c r="L67" s="2" t="s">
        <v>42</v>
      </c>
      <c r="M67" s="2" t="n">
        <v>2023</v>
      </c>
      <c r="N67" s="4" t="n">
        <v>2021</v>
      </c>
      <c r="O67" s="2" t="n">
        <v>3.429</v>
      </c>
      <c r="P67" s="2" t="n">
        <v>0.0299</v>
      </c>
      <c r="Q67" s="2" t="n">
        <v>152.5</v>
      </c>
      <c r="R67" s="2" t="n">
        <f aca="false">O67-(N67-1950)/1000</f>
        <v>3.358</v>
      </c>
      <c r="S67" s="2" t="n">
        <f aca="false">ROUNDUP(ROUND(O67,6)*10,0)/10</f>
        <v>3.5</v>
      </c>
      <c r="T67" s="2" t="n">
        <f aca="false">MAX(0.1,ROUNDUP(ROUND(R67,6)*10,0)/10)</f>
        <v>3.4</v>
      </c>
      <c r="U67" s="2" t="str">
        <f aca="false">IF(S67&lt;&gt;T67,"yes","no")</f>
        <v>yes</v>
      </c>
      <c r="V67" s="2" t="str">
        <f aca="false">IF(R67&lt;0,"yes","no")</f>
        <v>no</v>
      </c>
      <c r="W67" s="2" t="s">
        <v>71</v>
      </c>
      <c r="X67" s="5" t="s">
        <v>72</v>
      </c>
    </row>
    <row r="68" customFormat="false" ht="15" hidden="false" customHeight="false" outlineLevel="0" collapsed="false">
      <c r="A68" s="2" t="n">
        <v>390</v>
      </c>
      <c r="B68" s="2" t="s">
        <v>158</v>
      </c>
      <c r="C68" s="2" t="s">
        <v>158</v>
      </c>
      <c r="D68" s="2" t="s">
        <v>47</v>
      </c>
      <c r="E68" s="2" t="s">
        <v>48</v>
      </c>
      <c r="F68" s="2" t="s">
        <v>159</v>
      </c>
      <c r="G68" s="2" t="n">
        <v>-3.75</v>
      </c>
      <c r="H68" s="2" t="n">
        <v>-86.987082</v>
      </c>
      <c r="I68" s="2" t="n">
        <v>20.706113</v>
      </c>
      <c r="J68" s="2" t="s">
        <v>93</v>
      </c>
      <c r="K68" s="2"/>
      <c r="L68" s="2" t="s">
        <v>42</v>
      </c>
      <c r="M68" s="2" t="n">
        <v>2023</v>
      </c>
      <c r="N68" s="4" t="n">
        <v>2021</v>
      </c>
      <c r="O68" s="2" t="n">
        <v>3.5227</v>
      </c>
      <c r="P68" s="2" t="n">
        <v>0.0205</v>
      </c>
      <c r="Q68" s="2" t="n">
        <v>144.4</v>
      </c>
      <c r="R68" s="2" t="n">
        <f aca="false">O68-(N68-1950)/1000</f>
        <v>3.4517</v>
      </c>
      <c r="S68" s="2" t="n">
        <f aca="false">ROUNDUP(ROUND(O68,6)*10,0)/10</f>
        <v>3.6</v>
      </c>
      <c r="T68" s="2" t="n">
        <f aca="false">MAX(0.1,ROUNDUP(ROUND(R68,6)*10,0)/10)</f>
        <v>3.5</v>
      </c>
      <c r="U68" s="2" t="str">
        <f aca="false">IF(S68&lt;&gt;T68,"yes","no")</f>
        <v>yes</v>
      </c>
      <c r="V68" s="2" t="str">
        <f aca="false">IF(R68&lt;0,"yes","no")</f>
        <v>no</v>
      </c>
      <c r="W68" s="2" t="s">
        <v>43</v>
      </c>
      <c r="X68" s="2" t="s">
        <v>59</v>
      </c>
    </row>
    <row r="69" customFormat="false" ht="15" hidden="false" customHeight="false" outlineLevel="0" collapsed="false">
      <c r="A69" s="2" t="n">
        <v>391</v>
      </c>
      <c r="B69" s="2" t="s">
        <v>160</v>
      </c>
      <c r="C69" s="2" t="s">
        <v>160</v>
      </c>
      <c r="D69" s="2" t="s">
        <v>38</v>
      </c>
      <c r="E69" s="2" t="s">
        <v>39</v>
      </c>
      <c r="F69" s="2" t="s">
        <v>160</v>
      </c>
      <c r="G69" s="2" t="n">
        <v>-4.15</v>
      </c>
      <c r="H69" s="2" t="n">
        <v>-86.962934</v>
      </c>
      <c r="I69" s="2" t="n">
        <v>20.724405</v>
      </c>
      <c r="J69" s="2" t="s">
        <v>41</v>
      </c>
      <c r="K69" s="2"/>
      <c r="L69" s="2" t="s">
        <v>42</v>
      </c>
      <c r="M69" s="2" t="n">
        <v>2023</v>
      </c>
      <c r="N69" s="4" t="n">
        <v>2021</v>
      </c>
      <c r="O69" s="2" t="n">
        <v>3.5433</v>
      </c>
      <c r="P69" s="2" t="n">
        <v>0.0213</v>
      </c>
      <c r="Q69" s="2" t="n">
        <v>146.5</v>
      </c>
      <c r="R69" s="2" t="n">
        <f aca="false">O69-(N69-1950)/1000</f>
        <v>3.4723</v>
      </c>
      <c r="S69" s="2" t="n">
        <f aca="false">ROUNDUP(ROUND(O69,6)*10,0)/10</f>
        <v>3.6</v>
      </c>
      <c r="T69" s="2" t="n">
        <f aca="false">MAX(0.1,ROUNDUP(ROUND(R69,6)*10,0)/10)</f>
        <v>3.5</v>
      </c>
      <c r="U69" s="2" t="str">
        <f aca="false">IF(S69&lt;&gt;T69,"yes","no")</f>
        <v>yes</v>
      </c>
      <c r="V69" s="2" t="str">
        <f aca="false">IF(R69&lt;0,"yes","no")</f>
        <v>no</v>
      </c>
      <c r="W69" s="2" t="s">
        <v>43</v>
      </c>
      <c r="X69" s="2" t="s">
        <v>59</v>
      </c>
    </row>
    <row r="70" customFormat="false" ht="15" hidden="false" customHeight="false" outlineLevel="0" collapsed="false">
      <c r="A70" s="2" t="n">
        <v>392</v>
      </c>
      <c r="B70" s="2" t="s">
        <v>161</v>
      </c>
      <c r="C70" s="2" t="s">
        <v>161</v>
      </c>
      <c r="D70" s="2" t="s">
        <v>38</v>
      </c>
      <c r="E70" s="2" t="s">
        <v>39</v>
      </c>
      <c r="F70" s="2" t="s">
        <v>162</v>
      </c>
      <c r="G70" s="2" t="n">
        <v>-1.49</v>
      </c>
      <c r="H70" s="2" t="n">
        <v>-86.96927799</v>
      </c>
      <c r="I70" s="2" t="n">
        <v>20.71993296</v>
      </c>
      <c r="J70" s="2" t="s">
        <v>41</v>
      </c>
      <c r="K70" s="2"/>
      <c r="L70" s="2" t="s">
        <v>42</v>
      </c>
      <c r="M70" s="2" t="n">
        <v>2021</v>
      </c>
      <c r="N70" s="4" t="n">
        <v>2021</v>
      </c>
      <c r="O70" s="2" t="n">
        <v>3.61232</v>
      </c>
      <c r="P70" s="2" t="n">
        <v>0.03011</v>
      </c>
      <c r="Q70" s="2" t="n">
        <v>149.5</v>
      </c>
      <c r="R70" s="2" t="n">
        <f aca="false">O70-(N70-1950)/1000</f>
        <v>3.54132</v>
      </c>
      <c r="S70" s="2" t="n">
        <f aca="false">ROUNDUP(ROUND(O70,6)*10,0)/10</f>
        <v>3.7</v>
      </c>
      <c r="T70" s="2" t="n">
        <f aca="false">MAX(0.1,ROUNDUP(ROUND(R70,6)*10,0)/10)</f>
        <v>3.6</v>
      </c>
      <c r="U70" s="2" t="str">
        <f aca="false">IF(S70&lt;&gt;T70,"yes","no")</f>
        <v>yes</v>
      </c>
      <c r="V70" s="2" t="str">
        <f aca="false">IF(R70&lt;0,"yes","no")</f>
        <v>no</v>
      </c>
      <c r="W70" s="2" t="s">
        <v>43</v>
      </c>
      <c r="X70" s="2"/>
    </row>
    <row r="71" customFormat="false" ht="15" hidden="false" customHeight="false" outlineLevel="0" collapsed="false">
      <c r="A71" s="2" t="n">
        <v>393</v>
      </c>
      <c r="B71" s="2" t="s">
        <v>163</v>
      </c>
      <c r="C71" s="2" t="s">
        <v>163</v>
      </c>
      <c r="D71" s="2" t="s">
        <v>38</v>
      </c>
      <c r="E71" s="2" t="s">
        <v>39</v>
      </c>
      <c r="F71" s="2" t="s">
        <v>164</v>
      </c>
      <c r="G71" s="2" t="n">
        <v>-4.15</v>
      </c>
      <c r="H71" s="2" t="n">
        <v>-86.969882</v>
      </c>
      <c r="I71" s="2" t="n">
        <v>20.718684</v>
      </c>
      <c r="J71" s="2" t="s">
        <v>41</v>
      </c>
      <c r="K71" s="2"/>
      <c r="L71" s="2" t="s">
        <v>42</v>
      </c>
      <c r="M71" s="2" t="n">
        <v>2023</v>
      </c>
      <c r="N71" s="4" t="n">
        <v>2021</v>
      </c>
      <c r="O71" s="2" t="n">
        <v>3.6236</v>
      </c>
      <c r="P71" s="2" t="n">
        <v>0.0226</v>
      </c>
      <c r="Q71" s="2" t="n">
        <v>146.5</v>
      </c>
      <c r="R71" s="2" t="n">
        <f aca="false">O71-(N71-1950)/1000</f>
        <v>3.5526</v>
      </c>
      <c r="S71" s="2" t="n">
        <f aca="false">ROUNDUP(ROUND(O71,6)*10,0)/10</f>
        <v>3.7</v>
      </c>
      <c r="T71" s="2" t="n">
        <f aca="false">MAX(0.1,ROUNDUP(ROUND(R71,6)*10,0)/10)</f>
        <v>3.6</v>
      </c>
      <c r="U71" s="2" t="str">
        <f aca="false">IF(S71&lt;&gt;T71,"yes","no")</f>
        <v>yes</v>
      </c>
      <c r="V71" s="2" t="str">
        <f aca="false">IF(R71&lt;0,"yes","no")</f>
        <v>no</v>
      </c>
      <c r="W71" s="2" t="s">
        <v>43</v>
      </c>
      <c r="X71" s="2" t="s">
        <v>59</v>
      </c>
    </row>
    <row r="72" customFormat="false" ht="15" hidden="false" customHeight="false" outlineLevel="0" collapsed="false">
      <c r="A72" s="2" t="n">
        <v>394</v>
      </c>
      <c r="B72" s="2" t="s">
        <v>165</v>
      </c>
      <c r="C72" s="2" t="s">
        <v>165</v>
      </c>
      <c r="D72" s="2" t="s">
        <v>38</v>
      </c>
      <c r="E72" s="2" t="s">
        <v>39</v>
      </c>
      <c r="F72" s="2" t="s">
        <v>74</v>
      </c>
      <c r="G72" s="2" t="n">
        <v>-1.35</v>
      </c>
      <c r="H72" s="2" t="n">
        <v>-86.961994</v>
      </c>
      <c r="I72" s="2" t="n">
        <v>20.726183</v>
      </c>
      <c r="J72" s="2" t="s">
        <v>75</v>
      </c>
      <c r="K72" s="2"/>
      <c r="L72" s="2" t="s">
        <v>42</v>
      </c>
      <c r="M72" s="2" t="n">
        <v>2023</v>
      </c>
      <c r="N72" s="4" t="n">
        <v>2021</v>
      </c>
      <c r="O72" s="2" t="n">
        <v>3.6672</v>
      </c>
      <c r="P72" s="2" t="n">
        <v>0.0332</v>
      </c>
      <c r="Q72" s="2" t="n">
        <v>151.6</v>
      </c>
      <c r="R72" s="2" t="n">
        <f aca="false">O72-(N72-1950)/1000</f>
        <v>3.5962</v>
      </c>
      <c r="S72" s="2" t="n">
        <f aca="false">ROUNDUP(ROUND(O72,6)*10,0)/10</f>
        <v>3.7</v>
      </c>
      <c r="T72" s="2" t="n">
        <f aca="false">MAX(0.1,ROUNDUP(ROUND(R72,6)*10,0)/10)</f>
        <v>3.6</v>
      </c>
      <c r="U72" s="2" t="str">
        <f aca="false">IF(S72&lt;&gt;T72,"yes","no")</f>
        <v>yes</v>
      </c>
      <c r="V72" s="2" t="str">
        <f aca="false">IF(R72&lt;0,"yes","no")</f>
        <v>no</v>
      </c>
      <c r="W72" s="2" t="s">
        <v>43</v>
      </c>
      <c r="X72" s="2" t="s">
        <v>59</v>
      </c>
    </row>
    <row r="73" customFormat="false" ht="15" hidden="false" customHeight="false" outlineLevel="0" collapsed="false">
      <c r="A73" s="2" t="n">
        <v>395</v>
      </c>
      <c r="B73" s="2" t="s">
        <v>166</v>
      </c>
      <c r="C73" s="2" t="s">
        <v>166</v>
      </c>
      <c r="D73" s="2" t="s">
        <v>38</v>
      </c>
      <c r="E73" s="2" t="s">
        <v>39</v>
      </c>
      <c r="F73" s="2" t="s">
        <v>167</v>
      </c>
      <c r="G73" s="2" t="n">
        <v>-2.32</v>
      </c>
      <c r="H73" s="2" t="n">
        <v>-86.96032402</v>
      </c>
      <c r="I73" s="2" t="n">
        <v>20.72754004</v>
      </c>
      <c r="J73" s="2" t="s">
        <v>41</v>
      </c>
      <c r="K73" s="2"/>
      <c r="L73" s="2" t="s">
        <v>42</v>
      </c>
      <c r="M73" s="2" t="n">
        <v>2021</v>
      </c>
      <c r="N73" s="4" t="n">
        <v>2021</v>
      </c>
      <c r="O73" s="2" t="n">
        <v>3.69498</v>
      </c>
      <c r="P73" s="2" t="n">
        <v>0.07769</v>
      </c>
      <c r="Q73" s="2" t="n">
        <v>148.5</v>
      </c>
      <c r="R73" s="2" t="n">
        <f aca="false">O73-(N73-1950)/1000</f>
        <v>3.62398</v>
      </c>
      <c r="S73" s="2" t="n">
        <f aca="false">ROUNDUP(ROUND(O73,6)*10,0)/10</f>
        <v>3.7</v>
      </c>
      <c r="T73" s="2" t="n">
        <f aca="false">MAX(0.1,ROUNDUP(ROUND(R73,6)*10,0)/10)</f>
        <v>3.7</v>
      </c>
      <c r="U73" s="2" t="str">
        <f aca="false">IF(S73&lt;&gt;T73,"yes","no")</f>
        <v>no</v>
      </c>
      <c r="V73" s="2" t="str">
        <f aca="false">IF(R73&lt;0,"yes","no")</f>
        <v>no</v>
      </c>
      <c r="W73" s="2" t="s">
        <v>43</v>
      </c>
      <c r="X73" s="2"/>
    </row>
    <row r="74" customFormat="false" ht="15" hidden="false" customHeight="false" outlineLevel="0" collapsed="false">
      <c r="A74" s="2" t="n">
        <v>396</v>
      </c>
      <c r="B74" s="2" t="s">
        <v>168</v>
      </c>
      <c r="C74" s="2" t="s">
        <v>168</v>
      </c>
      <c r="D74" s="2" t="s">
        <v>38</v>
      </c>
      <c r="E74" s="2" t="s">
        <v>39</v>
      </c>
      <c r="F74" s="2" t="s">
        <v>169</v>
      </c>
      <c r="G74" s="2" t="n">
        <v>5.1</v>
      </c>
      <c r="H74" s="2"/>
      <c r="I74" s="2"/>
      <c r="J74" s="2" t="s">
        <v>41</v>
      </c>
      <c r="K74" s="2" t="s">
        <v>170</v>
      </c>
      <c r="L74" s="2" t="s">
        <v>120</v>
      </c>
      <c r="M74" s="2" t="n">
        <v>2017</v>
      </c>
      <c r="N74" s="4" t="n">
        <v>1950</v>
      </c>
      <c r="O74" s="2" t="n">
        <v>3.7</v>
      </c>
      <c r="P74" s="2" t="n">
        <v>0.07</v>
      </c>
      <c r="Q74" s="2" t="n">
        <v>147</v>
      </c>
      <c r="R74" s="2" t="n">
        <f aca="false">O74-(N74-1950)/1000</f>
        <v>3.7</v>
      </c>
      <c r="S74" s="2" t="n">
        <f aca="false">ROUNDUP(ROUND(O74,6)*10,0)/10</f>
        <v>3.7</v>
      </c>
      <c r="T74" s="2" t="n">
        <f aca="false">MAX(0.1,ROUNDUP(ROUND(R74,6)*10,0)/10)</f>
        <v>3.7</v>
      </c>
      <c r="U74" s="2" t="str">
        <f aca="false">IF(S74&lt;&gt;T74,"yes","no")</f>
        <v>no</v>
      </c>
      <c r="V74" s="2" t="str">
        <f aca="false">IF(R74&lt;0,"yes","no")</f>
        <v>no</v>
      </c>
      <c r="W74" s="2" t="s">
        <v>43</v>
      </c>
      <c r="X74" s="2" t="s">
        <v>171</v>
      </c>
    </row>
    <row r="75" customFormat="false" ht="15" hidden="false" customHeight="false" outlineLevel="0" collapsed="false">
      <c r="A75" s="2" t="n">
        <v>397</v>
      </c>
      <c r="B75" s="2" t="s">
        <v>172</v>
      </c>
      <c r="C75" s="2" t="s">
        <v>172</v>
      </c>
      <c r="D75" s="2" t="s">
        <v>38</v>
      </c>
      <c r="E75" s="2" t="s">
        <v>39</v>
      </c>
      <c r="F75" s="2" t="s">
        <v>173</v>
      </c>
      <c r="G75" s="2" t="n">
        <v>-1.61</v>
      </c>
      <c r="H75" s="2" t="n">
        <v>-86.970057</v>
      </c>
      <c r="I75" s="2" t="n">
        <v>20.71917498</v>
      </c>
      <c r="J75" s="2" t="s">
        <v>41</v>
      </c>
      <c r="K75" s="2"/>
      <c r="L75" s="2" t="s">
        <v>42</v>
      </c>
      <c r="M75" s="2" t="n">
        <v>2021</v>
      </c>
      <c r="N75" s="4" t="n">
        <v>2021</v>
      </c>
      <c r="O75" s="2" t="n">
        <v>3.70903</v>
      </c>
      <c r="P75" s="2" t="n">
        <v>0.02793</v>
      </c>
      <c r="Q75" s="2" t="n">
        <v>147.5</v>
      </c>
      <c r="R75" s="2" t="n">
        <f aca="false">O75-(N75-1950)/1000</f>
        <v>3.63803</v>
      </c>
      <c r="S75" s="2" t="n">
        <f aca="false">ROUNDUP(ROUND(O75,6)*10,0)/10</f>
        <v>3.8</v>
      </c>
      <c r="T75" s="2" t="n">
        <f aca="false">MAX(0.1,ROUNDUP(ROUND(R75,6)*10,0)/10)</f>
        <v>3.7</v>
      </c>
      <c r="U75" s="2" t="str">
        <f aca="false">IF(S75&lt;&gt;T75,"yes","no")</f>
        <v>yes</v>
      </c>
      <c r="V75" s="2" t="str">
        <f aca="false">IF(R75&lt;0,"yes","no")</f>
        <v>no</v>
      </c>
      <c r="W75" s="2" t="s">
        <v>43</v>
      </c>
      <c r="X75" s="2"/>
    </row>
    <row r="76" customFormat="false" ht="15" hidden="false" customHeight="false" outlineLevel="0" collapsed="false">
      <c r="A76" s="2" t="n">
        <v>398</v>
      </c>
      <c r="B76" s="2" t="s">
        <v>156</v>
      </c>
      <c r="C76" s="2" t="s">
        <v>156</v>
      </c>
      <c r="D76" s="2" t="s">
        <v>38</v>
      </c>
      <c r="E76" s="2" t="s">
        <v>39</v>
      </c>
      <c r="F76" s="2" t="s">
        <v>157</v>
      </c>
      <c r="G76" s="2" t="n">
        <v>-2.49</v>
      </c>
      <c r="H76" s="2" t="n">
        <v>-86.983214</v>
      </c>
      <c r="I76" s="2" t="n">
        <v>20.708418</v>
      </c>
      <c r="J76" s="2" t="s">
        <v>41</v>
      </c>
      <c r="K76" s="2"/>
      <c r="L76" s="2" t="s">
        <v>42</v>
      </c>
      <c r="M76" s="2" t="n">
        <v>2023</v>
      </c>
      <c r="N76" s="4" t="n">
        <v>2021</v>
      </c>
      <c r="O76" s="2" t="n">
        <v>3.7618</v>
      </c>
      <c r="P76" s="2" t="n">
        <v>0.0216</v>
      </c>
      <c r="Q76" s="2" t="n">
        <v>143.5</v>
      </c>
      <c r="R76" s="2" t="n">
        <f aca="false">O76-(N76-1950)/1000</f>
        <v>3.6908</v>
      </c>
      <c r="S76" s="2" t="n">
        <f aca="false">ROUNDUP(ROUND(O76,6)*10,0)/10</f>
        <v>3.8</v>
      </c>
      <c r="T76" s="2" t="n">
        <f aca="false">MAX(0.1,ROUNDUP(ROUND(R76,6)*10,0)/10)</f>
        <v>3.7</v>
      </c>
      <c r="U76" s="2" t="str">
        <f aca="false">IF(S76&lt;&gt;T76,"yes","no")</f>
        <v>yes</v>
      </c>
      <c r="V76" s="2" t="str">
        <f aca="false">IF(R76&lt;0,"yes","no")</f>
        <v>no</v>
      </c>
      <c r="W76" s="2" t="s">
        <v>71</v>
      </c>
      <c r="X76" s="5" t="s">
        <v>72</v>
      </c>
    </row>
    <row r="77" customFormat="false" ht="15" hidden="false" customHeight="false" outlineLevel="0" collapsed="false">
      <c r="A77" s="2" t="n">
        <v>399</v>
      </c>
      <c r="B77" s="2" t="s">
        <v>174</v>
      </c>
      <c r="C77" s="2" t="s">
        <v>174</v>
      </c>
      <c r="D77" s="2" t="s">
        <v>47</v>
      </c>
      <c r="E77" s="2" t="s">
        <v>48</v>
      </c>
      <c r="F77" s="2" t="s">
        <v>175</v>
      </c>
      <c r="G77" s="2" t="n">
        <v>-4.4</v>
      </c>
      <c r="H77" s="2" t="n">
        <v>-86.973575</v>
      </c>
      <c r="I77" s="2" t="n">
        <v>20.715459</v>
      </c>
      <c r="J77" s="2" t="s">
        <v>70</v>
      </c>
      <c r="K77" s="2"/>
      <c r="L77" s="2" t="s">
        <v>42</v>
      </c>
      <c r="M77" s="2" t="n">
        <v>2023</v>
      </c>
      <c r="N77" s="4" t="n">
        <v>2021</v>
      </c>
      <c r="O77" s="2" t="n">
        <v>3.7759</v>
      </c>
      <c r="P77" s="2" t="n">
        <v>0.0244</v>
      </c>
      <c r="Q77" s="2" t="n">
        <v>143.5</v>
      </c>
      <c r="R77" s="2" t="n">
        <f aca="false">O77-(N77-1950)/1000</f>
        <v>3.7049</v>
      </c>
      <c r="S77" s="2" t="n">
        <f aca="false">ROUNDUP(ROUND(O77,6)*10,0)/10</f>
        <v>3.8</v>
      </c>
      <c r="T77" s="2" t="n">
        <f aca="false">MAX(0.1,ROUNDUP(ROUND(R77,6)*10,0)/10)</f>
        <v>3.8</v>
      </c>
      <c r="U77" s="2" t="str">
        <f aca="false">IF(S77&lt;&gt;T77,"yes","no")</f>
        <v>no</v>
      </c>
      <c r="V77" s="2" t="str">
        <f aca="false">IF(R77&lt;0,"yes","no")</f>
        <v>no</v>
      </c>
      <c r="W77" s="2" t="s">
        <v>43</v>
      </c>
      <c r="X77" s="2" t="s">
        <v>59</v>
      </c>
    </row>
    <row r="78" customFormat="false" ht="15" hidden="false" customHeight="false" outlineLevel="0" collapsed="false">
      <c r="A78" s="2" t="n">
        <v>400</v>
      </c>
      <c r="B78" s="2" t="s">
        <v>176</v>
      </c>
      <c r="C78" s="2" t="s">
        <v>176</v>
      </c>
      <c r="D78" s="2" t="s">
        <v>38</v>
      </c>
      <c r="E78" s="2" t="s">
        <v>39</v>
      </c>
      <c r="F78" s="2" t="s">
        <v>103</v>
      </c>
      <c r="G78" s="2" t="n">
        <v>-4.56</v>
      </c>
      <c r="H78" s="2" t="n">
        <v>-86.966892</v>
      </c>
      <c r="I78" s="2" t="n">
        <v>20.721146</v>
      </c>
      <c r="J78" s="2" t="s">
        <v>41</v>
      </c>
      <c r="K78" s="2"/>
      <c r="L78" s="2" t="s">
        <v>42</v>
      </c>
      <c r="M78" s="2" t="n">
        <v>2023</v>
      </c>
      <c r="N78" s="4" t="n">
        <v>2021</v>
      </c>
      <c r="O78" s="2" t="n">
        <v>3.8038</v>
      </c>
      <c r="P78" s="2" t="n">
        <v>0.0209</v>
      </c>
      <c r="Q78" s="2" t="n">
        <v>145.6</v>
      </c>
      <c r="R78" s="2" t="n">
        <f aca="false">O78-(N78-1950)/1000</f>
        <v>3.7328</v>
      </c>
      <c r="S78" s="2" t="n">
        <f aca="false">ROUNDUP(ROUND(O78,6)*10,0)/10</f>
        <v>3.9</v>
      </c>
      <c r="T78" s="2" t="n">
        <f aca="false">MAX(0.1,ROUNDUP(ROUND(R78,6)*10,0)/10)</f>
        <v>3.8</v>
      </c>
      <c r="U78" s="2" t="str">
        <f aca="false">IF(S78&lt;&gt;T78,"yes","no")</f>
        <v>yes</v>
      </c>
      <c r="V78" s="2" t="str">
        <f aca="false">IF(R78&lt;0,"yes","no")</f>
        <v>no</v>
      </c>
      <c r="W78" s="2" t="s">
        <v>43</v>
      </c>
      <c r="X78" s="2" t="s">
        <v>59</v>
      </c>
    </row>
    <row r="79" customFormat="false" ht="15" hidden="false" customHeight="false" outlineLevel="0" collapsed="false">
      <c r="A79" s="2" t="n">
        <v>401</v>
      </c>
      <c r="B79" s="2" t="s">
        <v>177</v>
      </c>
      <c r="C79" s="2" t="s">
        <v>177</v>
      </c>
      <c r="D79" s="2" t="s">
        <v>38</v>
      </c>
      <c r="E79" s="2" t="s">
        <v>39</v>
      </c>
      <c r="F79" s="2" t="s">
        <v>140</v>
      </c>
      <c r="G79" s="2" t="n">
        <v>-1.6</v>
      </c>
      <c r="H79" s="2" t="n">
        <v>-86.97603699</v>
      </c>
      <c r="I79" s="2" t="n">
        <v>20.71443804</v>
      </c>
      <c r="J79" s="2" t="s">
        <v>41</v>
      </c>
      <c r="K79" s="2"/>
      <c r="L79" s="2" t="s">
        <v>42</v>
      </c>
      <c r="M79" s="2" t="n">
        <v>2021</v>
      </c>
      <c r="N79" s="4" t="n">
        <v>2021</v>
      </c>
      <c r="O79" s="2" t="n">
        <v>3.83756</v>
      </c>
      <c r="P79" s="2" t="n">
        <v>0.05795</v>
      </c>
      <c r="Q79" s="2" t="n">
        <v>149.6</v>
      </c>
      <c r="R79" s="2" t="n">
        <f aca="false">O79-(N79-1950)/1000</f>
        <v>3.76656</v>
      </c>
      <c r="S79" s="2" t="n">
        <f aca="false">ROUNDUP(ROUND(O79,6)*10,0)/10</f>
        <v>3.9</v>
      </c>
      <c r="T79" s="2" t="n">
        <f aca="false">MAX(0.1,ROUNDUP(ROUND(R79,6)*10,0)/10)</f>
        <v>3.8</v>
      </c>
      <c r="U79" s="2" t="str">
        <f aca="false">IF(S79&lt;&gt;T79,"yes","no")</f>
        <v>yes</v>
      </c>
      <c r="V79" s="2" t="str">
        <f aca="false">IF(R79&lt;0,"yes","no")</f>
        <v>no</v>
      </c>
      <c r="W79" s="2" t="s">
        <v>43</v>
      </c>
      <c r="X79" s="2"/>
    </row>
    <row r="80" customFormat="false" ht="15" hidden="false" customHeight="false" outlineLevel="0" collapsed="false">
      <c r="A80" s="2" t="n">
        <v>402</v>
      </c>
      <c r="B80" s="2" t="s">
        <v>178</v>
      </c>
      <c r="C80" s="2" t="s">
        <v>178</v>
      </c>
      <c r="D80" s="2" t="s">
        <v>38</v>
      </c>
      <c r="E80" s="2" t="s">
        <v>39</v>
      </c>
      <c r="F80" s="2" t="s">
        <v>179</v>
      </c>
      <c r="G80" s="2" t="n">
        <v>-3.08</v>
      </c>
      <c r="H80" s="2" t="n">
        <v>-86.97543701</v>
      </c>
      <c r="I80" s="2" t="n">
        <v>20.71434198</v>
      </c>
      <c r="J80" s="2" t="s">
        <v>41</v>
      </c>
      <c r="K80" s="2"/>
      <c r="L80" s="2" t="s">
        <v>42</v>
      </c>
      <c r="M80" s="2" t="n">
        <v>2021</v>
      </c>
      <c r="N80" s="4" t="n">
        <v>2021</v>
      </c>
      <c r="O80" s="2" t="n">
        <v>3.96145</v>
      </c>
      <c r="P80" s="2" t="n">
        <v>0.05368</v>
      </c>
      <c r="Q80" s="2" t="n">
        <v>146.6</v>
      </c>
      <c r="R80" s="2" t="n">
        <f aca="false">O80-(N80-1950)/1000</f>
        <v>3.89045</v>
      </c>
      <c r="S80" s="2" t="n">
        <f aca="false">ROUNDUP(ROUND(O80,6)*10,0)/10</f>
        <v>4</v>
      </c>
      <c r="T80" s="2" t="n">
        <f aca="false">MAX(0.1,ROUNDUP(ROUND(R80,6)*10,0)/10)</f>
        <v>3.9</v>
      </c>
      <c r="U80" s="2" t="str">
        <f aca="false">IF(S80&lt;&gt;T80,"yes","no")</f>
        <v>yes</v>
      </c>
      <c r="V80" s="2" t="str">
        <f aca="false">IF(R80&lt;0,"yes","no")</f>
        <v>no</v>
      </c>
      <c r="W80" s="2" t="s">
        <v>43</v>
      </c>
      <c r="X80" s="2"/>
    </row>
    <row r="81" customFormat="false" ht="15" hidden="false" customHeight="false" outlineLevel="0" collapsed="false">
      <c r="A81" s="2" t="n">
        <v>403</v>
      </c>
      <c r="B81" s="2" t="s">
        <v>180</v>
      </c>
      <c r="C81" s="2" t="s">
        <v>180</v>
      </c>
      <c r="D81" s="2" t="s">
        <v>47</v>
      </c>
      <c r="E81" s="2" t="s">
        <v>48</v>
      </c>
      <c r="F81" s="2" t="s">
        <v>162</v>
      </c>
      <c r="G81" s="2" t="n">
        <v>-1.49</v>
      </c>
      <c r="H81" s="2" t="n">
        <v>-86.96927799</v>
      </c>
      <c r="I81" s="2" t="n">
        <v>20.71993296</v>
      </c>
      <c r="J81" s="2" t="s">
        <v>181</v>
      </c>
      <c r="K81" s="2"/>
      <c r="L81" s="2" t="s">
        <v>42</v>
      </c>
      <c r="M81" s="2" t="n">
        <v>2021</v>
      </c>
      <c r="N81" s="4" t="n">
        <v>2021</v>
      </c>
      <c r="O81" s="2" t="n">
        <v>4.06057</v>
      </c>
      <c r="P81" s="2" t="n">
        <v>0.04477</v>
      </c>
      <c r="Q81" s="2" t="n">
        <v>154.8</v>
      </c>
      <c r="R81" s="2" t="n">
        <f aca="false">O81-(N81-1950)/1000</f>
        <v>3.98957</v>
      </c>
      <c r="S81" s="2" t="n">
        <f aca="false">ROUNDUP(ROUND(O81,6)*10,0)/10</f>
        <v>4.1</v>
      </c>
      <c r="T81" s="2" t="n">
        <f aca="false">MAX(0.1,ROUNDUP(ROUND(R81,6)*10,0)/10)</f>
        <v>4</v>
      </c>
      <c r="U81" s="2" t="str">
        <f aca="false">IF(S81&lt;&gt;T81,"yes","no")</f>
        <v>yes</v>
      </c>
      <c r="V81" s="2" t="str">
        <f aca="false">IF(R81&lt;0,"yes","no")</f>
        <v>no</v>
      </c>
      <c r="W81" s="2" t="s">
        <v>43</v>
      </c>
      <c r="X81" s="2"/>
    </row>
    <row r="82" customFormat="false" ht="15" hidden="false" customHeight="false" outlineLevel="0" collapsed="false">
      <c r="A82" s="2" t="n">
        <v>404</v>
      </c>
      <c r="B82" s="2" t="s">
        <v>182</v>
      </c>
      <c r="C82" s="2" t="s">
        <v>182</v>
      </c>
      <c r="D82" s="2" t="s">
        <v>38</v>
      </c>
      <c r="E82" s="2" t="s">
        <v>39</v>
      </c>
      <c r="F82" s="2" t="s">
        <v>88</v>
      </c>
      <c r="G82" s="2" t="n">
        <v>-0.83</v>
      </c>
      <c r="H82" s="2" t="n">
        <v>-86.97018701</v>
      </c>
      <c r="I82" s="2" t="n">
        <v>20.71939199</v>
      </c>
      <c r="J82" s="2" t="s">
        <v>41</v>
      </c>
      <c r="K82" s="2"/>
      <c r="L82" s="2" t="s">
        <v>42</v>
      </c>
      <c r="M82" s="2" t="n">
        <v>2021</v>
      </c>
      <c r="N82" s="4" t="n">
        <v>2021</v>
      </c>
      <c r="O82" s="2" t="n">
        <v>4.07292</v>
      </c>
      <c r="P82" s="2" t="n">
        <v>0.07965</v>
      </c>
      <c r="Q82" s="2" t="n">
        <v>149.7</v>
      </c>
      <c r="R82" s="2" t="n">
        <f aca="false">O82-(N82-1950)/1000</f>
        <v>4.00192</v>
      </c>
      <c r="S82" s="2" t="n">
        <f aca="false">ROUNDUP(ROUND(O82,6)*10,0)/10</f>
        <v>4.1</v>
      </c>
      <c r="T82" s="2" t="n">
        <f aca="false">MAX(0.1,ROUNDUP(ROUND(R82,6)*10,0)/10)</f>
        <v>4.1</v>
      </c>
      <c r="U82" s="2" t="str">
        <f aca="false">IF(S82&lt;&gt;T82,"yes","no")</f>
        <v>no</v>
      </c>
      <c r="V82" s="2" t="str">
        <f aca="false">IF(R82&lt;0,"yes","no")</f>
        <v>no</v>
      </c>
      <c r="W82" s="2" t="s">
        <v>43</v>
      </c>
      <c r="X82" s="2"/>
    </row>
    <row r="83" customFormat="false" ht="15" hidden="false" customHeight="false" outlineLevel="0" collapsed="false">
      <c r="A83" s="2" t="n">
        <v>405</v>
      </c>
      <c r="B83" s="2" t="s">
        <v>183</v>
      </c>
      <c r="C83" s="2" t="s">
        <v>183</v>
      </c>
      <c r="D83" s="2" t="s">
        <v>38</v>
      </c>
      <c r="E83" s="2" t="s">
        <v>39</v>
      </c>
      <c r="F83" s="2" t="s">
        <v>184</v>
      </c>
      <c r="G83" s="2" t="n">
        <v>4.9</v>
      </c>
      <c r="H83" s="2"/>
      <c r="I83" s="2"/>
      <c r="J83" s="2" t="s">
        <v>41</v>
      </c>
      <c r="K83" s="2" t="s">
        <v>119</v>
      </c>
      <c r="L83" s="2" t="s">
        <v>120</v>
      </c>
      <c r="M83" s="2" t="n">
        <v>2017</v>
      </c>
      <c r="N83" s="4" t="n">
        <v>1950</v>
      </c>
      <c r="O83" s="2" t="n">
        <v>4.1</v>
      </c>
      <c r="P83" s="2" t="n">
        <v>0.02</v>
      </c>
      <c r="Q83" s="2" t="n">
        <v>148.1</v>
      </c>
      <c r="R83" s="2" t="n">
        <f aca="false">O83-(N83-1950)/1000</f>
        <v>4.1</v>
      </c>
      <c r="S83" s="2" t="n">
        <f aca="false">ROUNDUP(ROUND(O83,6)*10,0)/10</f>
        <v>4.1</v>
      </c>
      <c r="T83" s="2" t="n">
        <f aca="false">MAX(0.1,ROUNDUP(ROUND(R83,6)*10,0)/10)</f>
        <v>4.1</v>
      </c>
      <c r="U83" s="2" t="str">
        <f aca="false">IF(S83&lt;&gt;T83,"yes","no")</f>
        <v>no</v>
      </c>
      <c r="V83" s="2" t="str">
        <f aca="false">IF(R83&lt;0,"yes","no")</f>
        <v>no</v>
      </c>
      <c r="W83" s="2" t="s">
        <v>43</v>
      </c>
      <c r="X83" s="2" t="s">
        <v>121</v>
      </c>
    </row>
    <row r="84" customFormat="false" ht="15" hidden="false" customHeight="false" outlineLevel="0" collapsed="false">
      <c r="A84" s="2" t="n">
        <v>406</v>
      </c>
      <c r="B84" s="2" t="s">
        <v>185</v>
      </c>
      <c r="C84" s="2" t="s">
        <v>185</v>
      </c>
      <c r="D84" s="2" t="s">
        <v>38</v>
      </c>
      <c r="E84" s="2" t="s">
        <v>39</v>
      </c>
      <c r="F84" s="2" t="s">
        <v>186</v>
      </c>
      <c r="G84" s="2" t="n">
        <v>2.1</v>
      </c>
      <c r="H84" s="2"/>
      <c r="I84" s="2"/>
      <c r="J84" s="2" t="s">
        <v>41</v>
      </c>
      <c r="K84" s="2" t="s">
        <v>119</v>
      </c>
      <c r="L84" s="2" t="s">
        <v>120</v>
      </c>
      <c r="M84" s="2" t="n">
        <v>2017</v>
      </c>
      <c r="N84" s="4" t="n">
        <v>1950</v>
      </c>
      <c r="O84" s="2" t="n">
        <v>4.24</v>
      </c>
      <c r="P84" s="2" t="n">
        <v>0.03</v>
      </c>
      <c r="Q84" s="2" t="n">
        <v>151.2</v>
      </c>
      <c r="R84" s="2" t="n">
        <f aca="false">O84-(N84-1950)/1000</f>
        <v>4.24</v>
      </c>
      <c r="S84" s="2" t="n">
        <f aca="false">ROUNDUP(ROUND(O84,6)*10,0)/10</f>
        <v>4.3</v>
      </c>
      <c r="T84" s="2" t="n">
        <f aca="false">MAX(0.1,ROUNDUP(ROUND(R84,6)*10,0)/10)</f>
        <v>4.3</v>
      </c>
      <c r="U84" s="2" t="str">
        <f aca="false">IF(S84&lt;&gt;T84,"yes","no")</f>
        <v>no</v>
      </c>
      <c r="V84" s="2" t="str">
        <f aca="false">IF(R84&lt;0,"yes","no")</f>
        <v>no</v>
      </c>
      <c r="W84" s="2" t="s">
        <v>43</v>
      </c>
      <c r="X84" s="2" t="s">
        <v>121</v>
      </c>
    </row>
    <row r="85" customFormat="false" ht="15" hidden="false" customHeight="false" outlineLevel="0" collapsed="false">
      <c r="A85" s="2" t="n">
        <v>407</v>
      </c>
      <c r="B85" s="2" t="s">
        <v>187</v>
      </c>
      <c r="C85" s="2" t="s">
        <v>187</v>
      </c>
      <c r="D85" s="2" t="s">
        <v>38</v>
      </c>
      <c r="E85" s="2" t="s">
        <v>39</v>
      </c>
      <c r="F85" s="2" t="s">
        <v>184</v>
      </c>
      <c r="G85" s="2" t="n">
        <v>4.2</v>
      </c>
      <c r="H85" s="2"/>
      <c r="I85" s="2"/>
      <c r="J85" s="2" t="s">
        <v>41</v>
      </c>
      <c r="K85" s="2" t="s">
        <v>119</v>
      </c>
      <c r="L85" s="2" t="s">
        <v>120</v>
      </c>
      <c r="M85" s="2" t="n">
        <v>2017</v>
      </c>
      <c r="N85" s="4" t="n">
        <v>1950</v>
      </c>
      <c r="O85" s="2" t="n">
        <v>4.3</v>
      </c>
      <c r="P85" s="2" t="n">
        <v>0.04</v>
      </c>
      <c r="Q85" s="2" t="n">
        <v>149.8</v>
      </c>
      <c r="R85" s="2" t="n">
        <f aca="false">O85-(N85-1950)/1000</f>
        <v>4.3</v>
      </c>
      <c r="S85" s="2" t="n">
        <f aca="false">ROUNDUP(ROUND(O85,6)*10,0)/10</f>
        <v>4.3</v>
      </c>
      <c r="T85" s="2" t="n">
        <f aca="false">MAX(0.1,ROUNDUP(ROUND(R85,6)*10,0)/10)</f>
        <v>4.3</v>
      </c>
      <c r="U85" s="2" t="str">
        <f aca="false">IF(S85&lt;&gt;T85,"yes","no")</f>
        <v>no</v>
      </c>
      <c r="V85" s="2" t="str">
        <f aca="false">IF(R85&lt;0,"yes","no")</f>
        <v>no</v>
      </c>
      <c r="W85" s="2" t="s">
        <v>43</v>
      </c>
      <c r="X85" s="2" t="s">
        <v>121</v>
      </c>
    </row>
    <row r="86" customFormat="false" ht="15" hidden="false" customHeight="false" outlineLevel="0" collapsed="false">
      <c r="A86" s="2" t="n">
        <v>408</v>
      </c>
      <c r="B86" s="2" t="s">
        <v>188</v>
      </c>
      <c r="C86" s="2" t="s">
        <v>188</v>
      </c>
      <c r="D86" s="2" t="s">
        <v>38</v>
      </c>
      <c r="E86" s="2" t="s">
        <v>39</v>
      </c>
      <c r="F86" s="2" t="s">
        <v>189</v>
      </c>
      <c r="G86" s="2" t="n">
        <v>2.4</v>
      </c>
      <c r="H86" s="2"/>
      <c r="I86" s="2"/>
      <c r="J86" s="2" t="s">
        <v>41</v>
      </c>
      <c r="K86" s="2" t="s">
        <v>119</v>
      </c>
      <c r="L86" s="2" t="s">
        <v>120</v>
      </c>
      <c r="M86" s="2" t="n">
        <v>2017</v>
      </c>
      <c r="N86" s="4" t="n">
        <v>1950</v>
      </c>
      <c r="O86" s="2" t="n">
        <v>4.5</v>
      </c>
      <c r="P86" s="2" t="n">
        <v>0.03</v>
      </c>
      <c r="Q86" s="2" t="n">
        <v>149.7</v>
      </c>
      <c r="R86" s="2" t="n">
        <f aca="false">O86-(N86-1950)/1000</f>
        <v>4.5</v>
      </c>
      <c r="S86" s="2" t="n">
        <f aca="false">ROUNDUP(ROUND(O86,6)*10,0)/10</f>
        <v>4.5</v>
      </c>
      <c r="T86" s="2" t="n">
        <f aca="false">MAX(0.1,ROUNDUP(ROUND(R86,6)*10,0)/10)</f>
        <v>4.5</v>
      </c>
      <c r="U86" s="2" t="str">
        <f aca="false">IF(S86&lt;&gt;T86,"yes","no")</f>
        <v>no</v>
      </c>
      <c r="V86" s="2" t="str">
        <f aca="false">IF(R86&lt;0,"yes","no")</f>
        <v>no</v>
      </c>
      <c r="W86" s="2" t="s">
        <v>43</v>
      </c>
      <c r="X86" s="2" t="s">
        <v>121</v>
      </c>
    </row>
    <row r="87" customFormat="false" ht="15" hidden="false" customHeight="false" outlineLevel="0" collapsed="false">
      <c r="A87" s="2" t="n">
        <v>409</v>
      </c>
      <c r="B87" s="2" t="s">
        <v>190</v>
      </c>
      <c r="C87" s="2" t="s">
        <v>190</v>
      </c>
      <c r="D87" s="2" t="s">
        <v>38</v>
      </c>
      <c r="E87" s="2" t="s">
        <v>39</v>
      </c>
      <c r="F87" s="2" t="s">
        <v>191</v>
      </c>
      <c r="G87" s="2" t="n">
        <v>4.6</v>
      </c>
      <c r="H87" s="2"/>
      <c r="I87" s="2"/>
      <c r="J87" s="2" t="s">
        <v>41</v>
      </c>
      <c r="K87" s="2" t="s">
        <v>119</v>
      </c>
      <c r="L87" s="2" t="s">
        <v>120</v>
      </c>
      <c r="M87" s="2" t="n">
        <v>2017</v>
      </c>
      <c r="N87" s="4" t="n">
        <v>1950</v>
      </c>
      <c r="O87" s="2" t="n">
        <v>4.54</v>
      </c>
      <c r="P87" s="2" t="n">
        <v>0.11</v>
      </c>
      <c r="Q87" s="2" t="n">
        <v>146.3</v>
      </c>
      <c r="R87" s="2" t="n">
        <f aca="false">O87-(N87-1950)/1000</f>
        <v>4.54</v>
      </c>
      <c r="S87" s="2" t="n">
        <f aca="false">ROUNDUP(ROUND(O87,6)*10,0)/10</f>
        <v>4.6</v>
      </c>
      <c r="T87" s="2" t="n">
        <f aca="false">MAX(0.1,ROUNDUP(ROUND(R87,6)*10,0)/10)</f>
        <v>4.6</v>
      </c>
      <c r="U87" s="2" t="str">
        <f aca="false">IF(S87&lt;&gt;T87,"yes","no")</f>
        <v>no</v>
      </c>
      <c r="V87" s="2" t="str">
        <f aca="false">IF(R87&lt;0,"yes","no")</f>
        <v>no</v>
      </c>
      <c r="W87" s="2" t="s">
        <v>43</v>
      </c>
      <c r="X87" s="2" t="s">
        <v>121</v>
      </c>
    </row>
    <row r="88" customFormat="false" ht="15" hidden="false" customHeight="false" outlineLevel="0" collapsed="false">
      <c r="A88" s="2" t="n">
        <v>410</v>
      </c>
      <c r="B88" s="2" t="s">
        <v>192</v>
      </c>
      <c r="C88" s="2" t="s">
        <v>192</v>
      </c>
      <c r="D88" s="2" t="s">
        <v>47</v>
      </c>
      <c r="E88" s="2" t="s">
        <v>48</v>
      </c>
      <c r="F88" s="2" t="s">
        <v>101</v>
      </c>
      <c r="G88" s="2" t="n">
        <v>-4.57</v>
      </c>
      <c r="H88" s="2" t="n">
        <v>-86.969926</v>
      </c>
      <c r="I88" s="2" t="n">
        <v>20.718432</v>
      </c>
      <c r="J88" s="2" t="s">
        <v>70</v>
      </c>
      <c r="K88" s="2"/>
      <c r="L88" s="2" t="s">
        <v>42</v>
      </c>
      <c r="M88" s="2" t="n">
        <v>2023</v>
      </c>
      <c r="N88" s="4" t="n">
        <v>2021</v>
      </c>
      <c r="O88" s="2" t="n">
        <v>4.6136</v>
      </c>
      <c r="P88" s="2" t="n">
        <v>0.0205</v>
      </c>
      <c r="Q88" s="2" t="n">
        <v>146.9</v>
      </c>
      <c r="R88" s="2" t="n">
        <f aca="false">O88-(N88-1950)/1000</f>
        <v>4.5426</v>
      </c>
      <c r="S88" s="2" t="n">
        <f aca="false">ROUNDUP(ROUND(O88,6)*10,0)/10</f>
        <v>4.7</v>
      </c>
      <c r="T88" s="2" t="n">
        <f aca="false">MAX(0.1,ROUNDUP(ROUND(R88,6)*10,0)/10)</f>
        <v>4.6</v>
      </c>
      <c r="U88" s="2" t="str">
        <f aca="false">IF(S88&lt;&gt;T88,"yes","no")</f>
        <v>yes</v>
      </c>
      <c r="V88" s="2" t="str">
        <f aca="false">IF(R88&lt;0,"yes","no")</f>
        <v>no</v>
      </c>
      <c r="W88" s="2" t="s">
        <v>43</v>
      </c>
      <c r="X88" s="2" t="s">
        <v>59</v>
      </c>
    </row>
    <row r="89" customFormat="false" ht="15" hidden="false" customHeight="false" outlineLevel="0" collapsed="false">
      <c r="A89" s="2" t="n">
        <v>411</v>
      </c>
      <c r="B89" s="2" t="s">
        <v>193</v>
      </c>
      <c r="C89" s="2" t="s">
        <v>193</v>
      </c>
      <c r="D89" s="2" t="s">
        <v>38</v>
      </c>
      <c r="E89" s="2" t="s">
        <v>39</v>
      </c>
      <c r="F89" s="2" t="s">
        <v>194</v>
      </c>
      <c r="G89" s="2" t="n">
        <v>4.5</v>
      </c>
      <c r="H89" s="2"/>
      <c r="I89" s="2"/>
      <c r="J89" s="2" t="s">
        <v>41</v>
      </c>
      <c r="K89" s="2" t="s">
        <v>119</v>
      </c>
      <c r="L89" s="2" t="s">
        <v>120</v>
      </c>
      <c r="M89" s="2" t="n">
        <v>2017</v>
      </c>
      <c r="N89" s="4" t="n">
        <v>1950</v>
      </c>
      <c r="O89" s="2" t="n">
        <v>4.68</v>
      </c>
      <c r="P89" s="2" t="n">
        <v>0.04</v>
      </c>
      <c r="Q89" s="2" t="n">
        <v>145.9</v>
      </c>
      <c r="R89" s="2" t="n">
        <f aca="false">O89-(N89-1950)/1000</f>
        <v>4.68</v>
      </c>
      <c r="S89" s="2" t="n">
        <f aca="false">ROUNDUP(ROUND(O89,6)*10,0)/10</f>
        <v>4.7</v>
      </c>
      <c r="T89" s="2" t="n">
        <f aca="false">MAX(0.1,ROUNDUP(ROUND(R89,6)*10,0)/10)</f>
        <v>4.7</v>
      </c>
      <c r="U89" s="2" t="str">
        <f aca="false">IF(S89&lt;&gt;T89,"yes","no")</f>
        <v>no</v>
      </c>
      <c r="V89" s="2" t="str">
        <f aca="false">IF(R89&lt;0,"yes","no")</f>
        <v>no</v>
      </c>
      <c r="W89" s="2" t="s">
        <v>43</v>
      </c>
      <c r="X89" s="2" t="s">
        <v>121</v>
      </c>
    </row>
    <row r="90" customFormat="false" ht="15" hidden="false" customHeight="false" outlineLevel="0" collapsed="false">
      <c r="A90" s="2" t="n">
        <v>412</v>
      </c>
      <c r="B90" s="2" t="s">
        <v>195</v>
      </c>
      <c r="C90" s="2" t="s">
        <v>195</v>
      </c>
      <c r="D90" s="2" t="s">
        <v>38</v>
      </c>
      <c r="E90" s="2" t="s">
        <v>39</v>
      </c>
      <c r="F90" s="2" t="s">
        <v>196</v>
      </c>
      <c r="G90" s="2" t="n">
        <v>4.2</v>
      </c>
      <c r="H90" s="2"/>
      <c r="I90" s="2"/>
      <c r="J90" s="2" t="s">
        <v>41</v>
      </c>
      <c r="K90" s="2" t="s">
        <v>119</v>
      </c>
      <c r="L90" s="2" t="s">
        <v>120</v>
      </c>
      <c r="M90" s="2" t="n">
        <v>2017</v>
      </c>
      <c r="N90" s="4" t="n">
        <v>1950</v>
      </c>
      <c r="O90" s="2" t="n">
        <v>4.95</v>
      </c>
      <c r="P90" s="2" t="n">
        <v>0.04</v>
      </c>
      <c r="Q90" s="2" t="n">
        <v>148.9</v>
      </c>
      <c r="R90" s="2" t="n">
        <f aca="false">O90-(N90-1950)/1000</f>
        <v>4.95</v>
      </c>
      <c r="S90" s="2" t="n">
        <f aca="false">ROUNDUP(ROUND(O90,6)*10,0)/10</f>
        <v>5</v>
      </c>
      <c r="T90" s="2" t="n">
        <f aca="false">MAX(0.1,ROUNDUP(ROUND(R90,6)*10,0)/10)</f>
        <v>5</v>
      </c>
      <c r="U90" s="2" t="str">
        <f aca="false">IF(S90&lt;&gt;T90,"yes","no")</f>
        <v>no</v>
      </c>
      <c r="V90" s="2" t="str">
        <f aca="false">IF(R90&lt;0,"yes","no")</f>
        <v>no</v>
      </c>
      <c r="W90" s="2" t="s">
        <v>43</v>
      </c>
      <c r="X90" s="2" t="s">
        <v>121</v>
      </c>
    </row>
    <row r="91" customFormat="false" ht="15" hidden="false" customHeight="false" outlineLevel="0" collapsed="false">
      <c r="A91" s="2" t="n">
        <v>413</v>
      </c>
      <c r="B91" s="2" t="s">
        <v>197</v>
      </c>
      <c r="C91" s="2" t="s">
        <v>197</v>
      </c>
      <c r="D91" s="2" t="s">
        <v>38</v>
      </c>
      <c r="E91" s="2" t="s">
        <v>39</v>
      </c>
      <c r="F91" s="2" t="s">
        <v>196</v>
      </c>
      <c r="G91" s="2" t="n">
        <v>3.7</v>
      </c>
      <c r="H91" s="2"/>
      <c r="I91" s="2"/>
      <c r="J91" s="2" t="s">
        <v>41</v>
      </c>
      <c r="K91" s="2" t="s">
        <v>119</v>
      </c>
      <c r="L91" s="2" t="s">
        <v>120</v>
      </c>
      <c r="M91" s="2" t="n">
        <v>2017</v>
      </c>
      <c r="N91" s="4" t="n">
        <v>1950</v>
      </c>
      <c r="O91" s="2" t="n">
        <v>4.97</v>
      </c>
      <c r="P91" s="2" t="n">
        <v>0.04</v>
      </c>
      <c r="Q91" s="2" t="n">
        <v>147.8</v>
      </c>
      <c r="R91" s="2" t="n">
        <f aca="false">O91-(N91-1950)/1000</f>
        <v>4.97</v>
      </c>
      <c r="S91" s="2" t="n">
        <f aca="false">ROUNDUP(ROUND(O91,6)*10,0)/10</f>
        <v>5</v>
      </c>
      <c r="T91" s="2" t="n">
        <f aca="false">MAX(0.1,ROUNDUP(ROUND(R91,6)*10,0)/10)</f>
        <v>5</v>
      </c>
      <c r="U91" s="2" t="str">
        <f aca="false">IF(S91&lt;&gt;T91,"yes","no")</f>
        <v>no</v>
      </c>
      <c r="V91" s="2" t="str">
        <f aca="false">IF(R91&lt;0,"yes","no")</f>
        <v>no</v>
      </c>
      <c r="W91" s="2" t="s">
        <v>43</v>
      </c>
      <c r="X91" s="2" t="s">
        <v>121</v>
      </c>
    </row>
    <row r="92" customFormat="false" ht="15" hidden="false" customHeight="false" outlineLevel="0" collapsed="false">
      <c r="A92" s="2" t="n">
        <v>414</v>
      </c>
      <c r="B92" s="2" t="s">
        <v>198</v>
      </c>
      <c r="C92" s="2" t="s">
        <v>198</v>
      </c>
      <c r="D92" s="2" t="s">
        <v>38</v>
      </c>
      <c r="E92" s="2" t="s">
        <v>39</v>
      </c>
      <c r="F92" s="2" t="s">
        <v>194</v>
      </c>
      <c r="G92" s="2" t="n">
        <v>4.2</v>
      </c>
      <c r="H92" s="2"/>
      <c r="I92" s="2"/>
      <c r="J92" s="2" t="s">
        <v>41</v>
      </c>
      <c r="K92" s="2" t="s">
        <v>119</v>
      </c>
      <c r="L92" s="2" t="s">
        <v>120</v>
      </c>
      <c r="M92" s="2" t="n">
        <v>2017</v>
      </c>
      <c r="N92" s="4" t="n">
        <v>1950</v>
      </c>
      <c r="O92" s="2" t="n">
        <v>5.46</v>
      </c>
      <c r="P92" s="2" t="n">
        <v>0.03</v>
      </c>
      <c r="Q92" s="2" t="n">
        <v>148.7</v>
      </c>
      <c r="R92" s="2" t="n">
        <f aca="false">O92-(N92-1950)/1000</f>
        <v>5.46</v>
      </c>
      <c r="S92" s="2" t="n">
        <f aca="false">ROUNDUP(ROUND(O92,6)*10,0)/10</f>
        <v>5.5</v>
      </c>
      <c r="T92" s="2" t="n">
        <f aca="false">MAX(0.1,ROUNDUP(ROUND(R92,6)*10,0)/10)</f>
        <v>5.5</v>
      </c>
      <c r="U92" s="2" t="str">
        <f aca="false">IF(S92&lt;&gt;T92,"yes","no")</f>
        <v>no</v>
      </c>
      <c r="V92" s="2" t="str">
        <f aca="false">IF(R92&lt;0,"yes","no")</f>
        <v>no</v>
      </c>
      <c r="W92" s="2" t="s">
        <v>43</v>
      </c>
      <c r="X92" s="2" t="s">
        <v>121</v>
      </c>
    </row>
    <row r="94" customFormat="false" ht="15" hidden="false" customHeight="false" outlineLevel="0" collapsed="false">
      <c r="A94" s="1" t="s">
        <v>199</v>
      </c>
    </row>
    <row r="95" customFormat="false" ht="15" hidden="false" customHeight="false" outlineLevel="0" collapsed="false">
      <c r="A95" s="2" t="s">
        <v>200</v>
      </c>
      <c r="E95" s="2" t="n">
        <f aca="false">COUNTIFS(E2:E92,"palmata")</f>
        <v>64</v>
      </c>
    </row>
    <row r="96" customFormat="false" ht="15" hidden="false" customHeight="false" outlineLevel="0" collapsed="false">
      <c r="A96" s="2" t="s">
        <v>201</v>
      </c>
      <c r="E96" s="2" t="n">
        <f aca="false">COUNTIFS(E2:E92,"palmata",U2:U92,"yes")</f>
        <v>33</v>
      </c>
    </row>
    <row r="97" customFormat="false" ht="15" hidden="false" customHeight="false" outlineLevel="0" collapsed="false">
      <c r="A97" s="2" t="s">
        <v>202</v>
      </c>
      <c r="E97" s="2" t="n">
        <f aca="false">COUNTIFS(E2:E92,"palmata",V2:V92,"yes")</f>
        <v>1</v>
      </c>
    </row>
    <row r="98" customFormat="false" ht="15" hidden="false" customHeight="false" outlineLevel="0" collapsed="false">
      <c r="A98" s="2" t="s">
        <v>203</v>
      </c>
      <c r="E98" s="2" t="n">
        <f aca="false">COUNTIFS(E2:E92,"palmata",W2:W92,"yes")</f>
        <v>4</v>
      </c>
    </row>
    <row r="99" customFormat="false" ht="15" hidden="false" customHeight="false" outlineLevel="0" collapsed="false">
      <c r="A99" s="2" t="s">
        <v>204</v>
      </c>
      <c r="E99" s="2" t="n">
        <f aca="false">COUNTIFS(E2:E92,"palmata",T2:T92,0.1)</f>
        <v>13</v>
      </c>
    </row>
    <row r="100" customFormat="false" ht="15" hidden="false" customHeight="false" outlineLevel="0" collapsed="false">
      <c r="A100" s="2" t="s">
        <v>205</v>
      </c>
      <c r="E100" s="2" t="n">
        <f aca="false">COUNTIFS(E2:E92,"palmata",T2:T92,0.2)</f>
        <v>4</v>
      </c>
    </row>
    <row r="101" customFormat="false" ht="15" hidden="false" customHeight="false" outlineLevel="0" collapsed="false">
      <c r="A101" s="2" t="s">
        <v>206</v>
      </c>
      <c r="E101" s="2" t="n">
        <f aca="false">COUNTIFS(E2:E92,"palmata",S2:S92,0.1)</f>
        <v>4</v>
      </c>
    </row>
    <row r="102" customFormat="false" ht="15" hidden="false" customHeight="false" outlineLevel="0" collapsed="false">
      <c r="A102" s="2" t="s">
        <v>207</v>
      </c>
      <c r="E102" s="2" t="n">
        <f aca="false">COUNTIFS(E2:E92,"palmata",S2:S92,0.2)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208</v>
      </c>
      <c r="B1" s="6" t="s">
        <v>209</v>
      </c>
      <c r="C1" s="6" t="s">
        <v>19</v>
      </c>
      <c r="D1" s="6" t="s">
        <v>210</v>
      </c>
      <c r="E1" s="6" t="s">
        <v>211</v>
      </c>
      <c r="F1" s="6" t="s">
        <v>212</v>
      </c>
      <c r="G1" s="6" t="s">
        <v>213</v>
      </c>
      <c r="H1" s="6" t="s">
        <v>214</v>
      </c>
      <c r="I1" s="6" t="s">
        <v>215</v>
      </c>
      <c r="J1" s="6" t="s">
        <v>216</v>
      </c>
      <c r="K1" s="6" t="s">
        <v>217</v>
      </c>
      <c r="L1" s="6" t="s">
        <v>218</v>
      </c>
      <c r="M1" s="6" t="s">
        <v>219</v>
      </c>
      <c r="N1" s="6" t="s">
        <v>220</v>
      </c>
      <c r="O1" s="6" t="s">
        <v>221</v>
      </c>
      <c r="P1" s="6" t="s">
        <v>29</v>
      </c>
      <c r="Q1" s="6" t="s">
        <v>222</v>
      </c>
    </row>
    <row r="2" customFormat="false" ht="15" hidden="false" customHeight="false" outlineLevel="0" collapsed="false">
      <c r="A2" s="2" t="s">
        <v>117</v>
      </c>
      <c r="B2" s="2" t="s">
        <v>223</v>
      </c>
      <c r="C2" s="2" t="n">
        <v>3.8</v>
      </c>
      <c r="D2" s="2" t="n">
        <v>7.03</v>
      </c>
      <c r="E2" s="2" t="n">
        <v>0.01</v>
      </c>
      <c r="F2" s="2" t="n">
        <v>0.0254</v>
      </c>
      <c r="G2" s="2" t="n">
        <v>0.0002</v>
      </c>
      <c r="H2" s="2" t="n">
        <v>1.147</v>
      </c>
      <c r="I2" s="2" t="n">
        <v>0.002</v>
      </c>
      <c r="J2" s="2" t="n">
        <v>147.1</v>
      </c>
      <c r="K2" s="2" t="n">
        <v>1.4</v>
      </c>
      <c r="L2" s="2" t="s">
        <v>224</v>
      </c>
      <c r="M2" s="2"/>
      <c r="N2" s="2" t="n">
        <v>1.81</v>
      </c>
      <c r="O2" s="2" t="n">
        <v>0.02</v>
      </c>
      <c r="P2" s="2" t="n">
        <v>147.6</v>
      </c>
      <c r="Q2" s="2" t="n">
        <v>1.6</v>
      </c>
    </row>
    <row r="3" customFormat="false" ht="15" hidden="false" customHeight="false" outlineLevel="0" collapsed="false">
      <c r="A3" s="2" t="s">
        <v>168</v>
      </c>
      <c r="B3" s="2" t="s">
        <v>225</v>
      </c>
      <c r="C3" s="2" t="n">
        <v>5.1</v>
      </c>
      <c r="D3" s="2" t="n">
        <v>2.78</v>
      </c>
      <c r="E3" s="2" t="n">
        <v>0.001</v>
      </c>
      <c r="F3" s="2" t="n">
        <v>0.0467</v>
      </c>
      <c r="G3" s="2" t="n">
        <v>0.0008</v>
      </c>
      <c r="H3" s="2" t="n">
        <v>1.146</v>
      </c>
      <c r="I3" s="2" t="n">
        <v>0.002</v>
      </c>
      <c r="J3" s="2" t="n">
        <v>145.5</v>
      </c>
      <c r="K3" s="2" t="n">
        <v>1.8</v>
      </c>
      <c r="L3" s="2" t="s">
        <v>226</v>
      </c>
      <c r="M3" s="2" t="n">
        <v>280</v>
      </c>
      <c r="N3" s="2" t="n">
        <v>3.7</v>
      </c>
      <c r="O3" s="2" t="n">
        <v>0.07</v>
      </c>
      <c r="P3" s="2" t="n">
        <v>147</v>
      </c>
      <c r="Q3" s="2" t="n">
        <v>3</v>
      </c>
    </row>
    <row r="4" customFormat="false" ht="15" hidden="false" customHeight="false" outlineLevel="0" collapsed="false">
      <c r="A4" s="2" t="s">
        <v>190</v>
      </c>
      <c r="B4" s="2" t="s">
        <v>223</v>
      </c>
      <c r="C4" s="2" t="n">
        <v>4.6</v>
      </c>
      <c r="D4" s="2" t="n">
        <v>2.93</v>
      </c>
      <c r="E4" s="2" t="n">
        <v>0.003</v>
      </c>
      <c r="F4" s="2" t="n">
        <v>0.0469</v>
      </c>
      <c r="G4" s="2" t="n">
        <v>0.0011</v>
      </c>
      <c r="H4" s="2" t="n">
        <v>1.145</v>
      </c>
      <c r="I4" s="2" t="n">
        <v>0.002</v>
      </c>
      <c r="J4" s="2" t="n">
        <v>144.5</v>
      </c>
      <c r="K4" s="2" t="n">
        <v>1.8</v>
      </c>
      <c r="L4" s="2" t="s">
        <v>227</v>
      </c>
      <c r="M4" s="2" t="n">
        <v>1590</v>
      </c>
      <c r="N4" s="2" t="n">
        <v>4.54</v>
      </c>
      <c r="O4" s="2" t="n">
        <v>0.11</v>
      </c>
      <c r="P4" s="2" t="n">
        <v>146.3</v>
      </c>
      <c r="Q4" s="2" t="n">
        <v>2.8</v>
      </c>
    </row>
    <row r="5" customFormat="false" ht="15" hidden="false" customHeight="false" outlineLevel="0" collapsed="false">
      <c r="A5" s="2" t="s">
        <v>187</v>
      </c>
      <c r="B5" s="2" t="s">
        <v>223</v>
      </c>
      <c r="C5" s="2" t="n">
        <v>4.2</v>
      </c>
      <c r="D5" s="2" t="n">
        <v>2.97</v>
      </c>
      <c r="E5" s="2" t="n">
        <v>0.002</v>
      </c>
      <c r="F5" s="2" t="n">
        <v>0.0446</v>
      </c>
      <c r="G5" s="2" t="n">
        <v>0.0004</v>
      </c>
      <c r="H5" s="2" t="n">
        <v>1.148</v>
      </c>
      <c r="I5" s="2" t="n">
        <v>0.002</v>
      </c>
      <c r="J5" s="2" t="n">
        <v>147.9</v>
      </c>
      <c r="K5" s="2" t="n">
        <v>2.4</v>
      </c>
      <c r="L5" s="2" t="s">
        <v>228</v>
      </c>
      <c r="M5" s="2" t="n">
        <v>38</v>
      </c>
      <c r="N5" s="2" t="n">
        <v>4.3</v>
      </c>
      <c r="O5" s="2" t="n">
        <v>0.04</v>
      </c>
      <c r="P5" s="2" t="n">
        <v>149.8</v>
      </c>
      <c r="Q5" s="2" t="n">
        <v>2.5</v>
      </c>
    </row>
    <row r="6" customFormat="false" ht="15" hidden="false" customHeight="false" outlineLevel="0" collapsed="false">
      <c r="A6" s="2" t="s">
        <v>183</v>
      </c>
      <c r="B6" s="2" t="s">
        <v>223</v>
      </c>
      <c r="C6" s="2" t="n">
        <v>4.9</v>
      </c>
      <c r="D6" s="2" t="n">
        <v>3.45</v>
      </c>
      <c r="E6" s="2" t="n">
        <v>0.002</v>
      </c>
      <c r="F6" s="2" t="n">
        <v>0.0425</v>
      </c>
      <c r="G6" s="2" t="n">
        <v>0.0002</v>
      </c>
      <c r="H6" s="2" t="n">
        <v>1.146</v>
      </c>
      <c r="I6" s="2" t="n">
        <v>0.002</v>
      </c>
      <c r="J6" s="2" t="n">
        <v>146.3</v>
      </c>
      <c r="K6" s="2" t="n">
        <v>2.1</v>
      </c>
      <c r="L6" s="2" t="s">
        <v>229</v>
      </c>
      <c r="M6" s="2" t="n">
        <v>5</v>
      </c>
      <c r="N6" s="2" t="n">
        <v>4.1</v>
      </c>
      <c r="O6" s="2" t="n">
        <v>0.02</v>
      </c>
      <c r="P6" s="2" t="n">
        <v>148.1</v>
      </c>
      <c r="Q6" s="2" t="n">
        <v>2.1</v>
      </c>
    </row>
    <row r="7" customFormat="false" ht="15" hidden="false" customHeight="false" outlineLevel="0" collapsed="false">
      <c r="A7" s="2" t="s">
        <v>230</v>
      </c>
      <c r="B7" s="2" t="s">
        <v>223</v>
      </c>
      <c r="C7" s="2" t="n">
        <v>5.2</v>
      </c>
      <c r="D7" s="2" t="n">
        <v>2.14</v>
      </c>
      <c r="E7" s="2" t="n">
        <v>0.003</v>
      </c>
      <c r="F7" s="2" t="n">
        <v>0.73</v>
      </c>
      <c r="G7" s="2" t="n">
        <v>0.002</v>
      </c>
      <c r="H7" s="2" t="n">
        <v>1.11</v>
      </c>
      <c r="I7" s="2" t="n">
        <v>0.003</v>
      </c>
      <c r="J7" s="2" t="n">
        <v>110.3</v>
      </c>
      <c r="K7" s="2" t="n">
        <v>3.1</v>
      </c>
      <c r="L7" s="2" t="s">
        <v>231</v>
      </c>
      <c r="M7" s="2" t="n">
        <v>6</v>
      </c>
      <c r="N7" s="2" t="n">
        <v>113.9</v>
      </c>
      <c r="O7" s="2" t="n">
        <v>0.8</v>
      </c>
      <c r="P7" s="2" t="n">
        <v>152.2</v>
      </c>
      <c r="Q7" s="2" t="n">
        <v>4</v>
      </c>
    </row>
    <row r="8" customFormat="false" ht="15" hidden="false" customHeight="false" outlineLevel="0" collapsed="false">
      <c r="A8" s="2" t="s">
        <v>197</v>
      </c>
      <c r="B8" s="2" t="s">
        <v>223</v>
      </c>
      <c r="C8" s="2" t="n">
        <v>3.7</v>
      </c>
      <c r="D8" s="2" t="n">
        <v>2.56</v>
      </c>
      <c r="E8" s="2" t="n">
        <v>0.001</v>
      </c>
      <c r="F8" s="2" t="n">
        <v>0.0518</v>
      </c>
      <c r="G8" s="2" t="n">
        <v>0.0002</v>
      </c>
      <c r="H8" s="2" t="n">
        <v>1.146</v>
      </c>
      <c r="I8" s="2" t="n">
        <v>0.001</v>
      </c>
      <c r="J8" s="2" t="n">
        <v>145.6</v>
      </c>
      <c r="K8" s="2" t="n">
        <v>1.5</v>
      </c>
      <c r="L8" s="2" t="s">
        <v>232</v>
      </c>
      <c r="M8" s="2" t="n">
        <v>1</v>
      </c>
      <c r="N8" s="2" t="n">
        <v>4.97</v>
      </c>
      <c r="O8" s="2" t="n">
        <v>0.04</v>
      </c>
      <c r="P8" s="2" t="n">
        <v>147.8</v>
      </c>
      <c r="Q8" s="2" t="n">
        <v>1.5</v>
      </c>
    </row>
    <row r="9" customFormat="false" ht="15" hidden="false" customHeight="false" outlineLevel="0" collapsed="false">
      <c r="A9" s="2" t="s">
        <v>195</v>
      </c>
      <c r="B9" s="2" t="s">
        <v>223</v>
      </c>
      <c r="C9" s="2" t="n">
        <v>4.2</v>
      </c>
      <c r="D9" s="2" t="n">
        <v>2.86</v>
      </c>
      <c r="E9" s="2" t="n">
        <v>0.003</v>
      </c>
      <c r="F9" s="2" t="n">
        <v>0.0515</v>
      </c>
      <c r="G9" s="2" t="n">
        <v>0.0001</v>
      </c>
      <c r="H9" s="2" t="n">
        <v>1.147</v>
      </c>
      <c r="I9" s="2" t="n">
        <v>0.002</v>
      </c>
      <c r="J9" s="2" t="n">
        <v>146.8</v>
      </c>
      <c r="K9" s="2" t="n">
        <v>2.5</v>
      </c>
      <c r="L9" s="2" t="s">
        <v>233</v>
      </c>
      <c r="M9" s="2" t="n">
        <v>2</v>
      </c>
      <c r="N9" s="2" t="n">
        <v>4.95</v>
      </c>
      <c r="O9" s="2" t="n">
        <v>0.04</v>
      </c>
      <c r="P9" s="2" t="n">
        <v>148.9</v>
      </c>
      <c r="Q9" s="2" t="n">
        <v>2.5</v>
      </c>
    </row>
    <row r="10" customFormat="false" ht="15" hidden="false" customHeight="false" outlineLevel="0" collapsed="false">
      <c r="A10" s="2" t="s">
        <v>185</v>
      </c>
      <c r="B10" s="2" t="s">
        <v>223</v>
      </c>
      <c r="C10" s="2" t="n">
        <v>2.1</v>
      </c>
      <c r="D10" s="2" t="n">
        <v>2.98</v>
      </c>
      <c r="E10" s="2" t="n">
        <v>0.002</v>
      </c>
      <c r="F10" s="2" t="n">
        <v>0.0442</v>
      </c>
      <c r="G10" s="2" t="n">
        <v>0.0002</v>
      </c>
      <c r="H10" s="2" t="n">
        <v>1.149</v>
      </c>
      <c r="I10" s="2" t="n">
        <v>0.002</v>
      </c>
      <c r="J10" s="2" t="n">
        <v>149.3</v>
      </c>
      <c r="K10" s="2" t="n">
        <v>2.1</v>
      </c>
      <c r="L10" s="2" t="s">
        <v>234</v>
      </c>
      <c r="M10" s="2" t="n">
        <v>3</v>
      </c>
      <c r="N10" s="2" t="n">
        <v>4.24</v>
      </c>
      <c r="O10" s="2" t="n">
        <v>0.03</v>
      </c>
      <c r="P10" s="2" t="n">
        <v>151.2</v>
      </c>
      <c r="Q10" s="2" t="n">
        <v>2.1</v>
      </c>
    </row>
    <row r="11" customFormat="false" ht="15" hidden="false" customHeight="false" outlineLevel="0" collapsed="false">
      <c r="A11" s="2" t="s">
        <v>198</v>
      </c>
      <c r="B11" s="2" t="s">
        <v>223</v>
      </c>
      <c r="C11" s="2" t="n">
        <v>4.2</v>
      </c>
      <c r="D11" s="2" t="n">
        <v>3.06</v>
      </c>
      <c r="E11" s="2" t="n">
        <v>0.002</v>
      </c>
      <c r="F11" s="2" t="n">
        <v>0.0561</v>
      </c>
      <c r="G11" s="2" t="n">
        <v>0.0003</v>
      </c>
      <c r="H11" s="2" t="n">
        <v>1.146</v>
      </c>
      <c r="I11" s="2" t="n">
        <v>0.002</v>
      </c>
      <c r="J11" s="2" t="n">
        <v>146.7</v>
      </c>
      <c r="K11" s="2" t="n">
        <v>1.8</v>
      </c>
      <c r="L11" s="2" t="s">
        <v>235</v>
      </c>
      <c r="M11" s="2" t="n">
        <v>24</v>
      </c>
      <c r="N11" s="2" t="n">
        <v>5.46</v>
      </c>
      <c r="O11" s="2" t="n">
        <v>0.03</v>
      </c>
      <c r="P11" s="2" t="n">
        <v>148.7</v>
      </c>
      <c r="Q11" s="2" t="n">
        <v>1.7</v>
      </c>
    </row>
    <row r="12" customFormat="false" ht="15" hidden="false" customHeight="false" outlineLevel="0" collapsed="false">
      <c r="A12" s="2" t="s">
        <v>193</v>
      </c>
      <c r="B12" s="2" t="s">
        <v>223</v>
      </c>
      <c r="C12" s="2" t="n">
        <v>4.5</v>
      </c>
      <c r="D12" s="2" t="n">
        <v>2.89</v>
      </c>
      <c r="E12" s="2" t="n">
        <v>0.003</v>
      </c>
      <c r="F12" s="2" t="n">
        <v>0.0484</v>
      </c>
      <c r="G12" s="2" t="n">
        <v>0.0004</v>
      </c>
      <c r="H12" s="2" t="n">
        <v>1.144</v>
      </c>
      <c r="I12" s="2" t="n">
        <v>0.003</v>
      </c>
      <c r="J12" s="2" t="n">
        <v>143.9</v>
      </c>
      <c r="K12" s="2" t="n">
        <v>2.6</v>
      </c>
      <c r="L12" s="2" t="s">
        <v>236</v>
      </c>
      <c r="M12" s="2" t="n">
        <v>4</v>
      </c>
      <c r="N12" s="2" t="n">
        <v>4.68</v>
      </c>
      <c r="O12" s="2" t="n">
        <v>0.04</v>
      </c>
      <c r="P12" s="2" t="n">
        <v>145.9</v>
      </c>
      <c r="Q12" s="2" t="n">
        <v>2.7</v>
      </c>
    </row>
    <row r="13" customFormat="false" ht="15" hidden="false" customHeight="false" outlineLevel="0" collapsed="false">
      <c r="A13" s="2" t="s">
        <v>143</v>
      </c>
      <c r="B13" s="2" t="s">
        <v>223</v>
      </c>
      <c r="C13" s="2" t="n">
        <v>3</v>
      </c>
      <c r="D13" s="2" t="n">
        <v>2.93</v>
      </c>
      <c r="E13" s="2" t="n">
        <v>0.003</v>
      </c>
      <c r="F13" s="2" t="n">
        <v>0.0305</v>
      </c>
      <c r="G13" s="2" t="n">
        <v>0.0003</v>
      </c>
      <c r="H13" s="2" t="n">
        <v>1.147</v>
      </c>
      <c r="I13" s="2" t="n">
        <v>0.002</v>
      </c>
      <c r="J13" s="2" t="n">
        <v>147.3</v>
      </c>
      <c r="K13" s="2" t="n">
        <v>1.5</v>
      </c>
      <c r="L13" s="2" t="s">
        <v>237</v>
      </c>
      <c r="M13" s="2" t="n">
        <v>14</v>
      </c>
      <c r="N13" s="2" t="n">
        <v>2.93</v>
      </c>
      <c r="O13" s="2" t="n">
        <v>0.03</v>
      </c>
      <c r="P13" s="2" t="n">
        <v>148.5</v>
      </c>
      <c r="Q13" s="2" t="n">
        <v>1.6</v>
      </c>
    </row>
    <row r="14" customFormat="false" ht="15" hidden="false" customHeight="false" outlineLevel="0" collapsed="false">
      <c r="A14" s="2" t="s">
        <v>188</v>
      </c>
      <c r="B14" s="2" t="s">
        <v>223</v>
      </c>
      <c r="C14" s="2" t="n">
        <v>2.4</v>
      </c>
      <c r="D14" s="2" t="n">
        <v>3.161</v>
      </c>
      <c r="E14" s="2" t="n">
        <v>0.003</v>
      </c>
      <c r="F14" s="2" t="n">
        <v>0.0465</v>
      </c>
      <c r="G14" s="2" t="n">
        <v>0.0003</v>
      </c>
      <c r="H14" s="2" t="n">
        <v>1.148</v>
      </c>
      <c r="I14" s="2" t="n">
        <v>0.002</v>
      </c>
      <c r="J14" s="2" t="n">
        <v>147.8</v>
      </c>
      <c r="K14" s="2" t="n">
        <v>2</v>
      </c>
      <c r="L14" s="2" t="s">
        <v>238</v>
      </c>
      <c r="M14" s="2" t="n">
        <v>29</v>
      </c>
      <c r="N14" s="2" t="n">
        <v>4.5</v>
      </c>
      <c r="O14" s="2" t="n">
        <v>0.03</v>
      </c>
      <c r="P14" s="2" t="n">
        <v>149.7</v>
      </c>
      <c r="Q14" s="2" t="n">
        <v>2</v>
      </c>
    </row>
    <row r="15" customFormat="false" ht="15" hidden="false" customHeight="false" outlineLevel="0" collapsed="false">
      <c r="A15" s="2" t="s">
        <v>132</v>
      </c>
      <c r="B15" s="2" t="s">
        <v>223</v>
      </c>
      <c r="C15" s="2" t="n">
        <v>2</v>
      </c>
      <c r="D15" s="2" t="n">
        <v>2.977</v>
      </c>
      <c r="E15" s="2" t="n">
        <v>0.002</v>
      </c>
      <c r="F15" s="2" t="n">
        <v>0.0254</v>
      </c>
      <c r="G15" s="2" t="n">
        <v>0.0002</v>
      </c>
      <c r="H15" s="2" t="n">
        <v>1.147</v>
      </c>
      <c r="I15" s="2" t="n">
        <v>0.002</v>
      </c>
      <c r="J15" s="2" t="n">
        <v>146.9</v>
      </c>
      <c r="K15" s="2" t="n">
        <v>2.6</v>
      </c>
      <c r="L15" s="2" t="s">
        <v>239</v>
      </c>
      <c r="M15" s="2" t="n">
        <v>21</v>
      </c>
      <c r="N15" s="2" t="n">
        <v>2.43</v>
      </c>
      <c r="O15" s="2" t="n">
        <v>0.02</v>
      </c>
      <c r="P15" s="2" t="n">
        <v>147.6</v>
      </c>
      <c r="Q15" s="2" t="n">
        <v>2.3</v>
      </c>
    </row>
    <row r="17" customFormat="false" ht="15" hidden="false" customHeight="false" outlineLevel="0" collapsed="false">
      <c r="A17" s="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26"/>
    <col collapsed="false" customWidth="true" hidden="false" outlineLevel="0" max="13" min="12" style="0" width="9"/>
    <col collapsed="false" customWidth="true" hidden="false" outlineLevel="0" max="14" min="14" style="0" width="6"/>
    <col collapsed="false" customWidth="true" hidden="false" outlineLevel="0" max="15" min="15" style="0" width="8"/>
    <col collapsed="false" customWidth="true" hidden="false" outlineLevel="0" max="17" min="16" style="0" width="7"/>
    <col collapsed="false" customWidth="true" hidden="false" outlineLevel="0" max="18" min="18" style="0" width="8"/>
    <col collapsed="false" customWidth="true" hidden="false" outlineLevel="0" max="19" min="19" style="0" width="80"/>
  </cols>
  <sheetData>
    <row r="1" customFormat="false" ht="26.85" hidden="false" customHeight="false" outlineLevel="0" collapsed="false">
      <c r="A1" s="3" t="s">
        <v>13</v>
      </c>
      <c r="B1" s="3" t="s">
        <v>241</v>
      </c>
      <c r="C1" s="3" t="s">
        <v>242</v>
      </c>
      <c r="D1" s="3" t="s">
        <v>17</v>
      </c>
      <c r="E1" s="3" t="s">
        <v>27</v>
      </c>
      <c r="F1" s="3" t="s">
        <v>243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248</v>
      </c>
      <c r="L1" s="3" t="s">
        <v>249</v>
      </c>
      <c r="M1" s="3" t="s">
        <v>250</v>
      </c>
      <c r="N1" s="3" t="s">
        <v>251</v>
      </c>
      <c r="O1" s="3" t="s">
        <v>252</v>
      </c>
      <c r="P1" s="3" t="s">
        <v>31</v>
      </c>
      <c r="Q1" s="3" t="s">
        <v>253</v>
      </c>
      <c r="R1" s="3" t="s">
        <v>33</v>
      </c>
      <c r="S1" s="3" t="s">
        <v>36</v>
      </c>
    </row>
    <row r="2" customFormat="false" ht="15" hidden="false" customHeight="false" outlineLevel="0" collapsed="false">
      <c r="A2" s="2" t="n">
        <v>300</v>
      </c>
      <c r="B2" s="2" t="s">
        <v>254</v>
      </c>
      <c r="C2" s="2" t="s">
        <v>255</v>
      </c>
      <c r="D2" s="2" t="s">
        <v>48</v>
      </c>
      <c r="E2" s="2" t="n">
        <v>0.15</v>
      </c>
      <c r="F2" s="2" t="s">
        <v>256</v>
      </c>
      <c r="G2" s="2" t="s">
        <v>257</v>
      </c>
      <c r="H2" s="2"/>
      <c r="I2" s="2" t="n">
        <v>540</v>
      </c>
      <c r="J2" s="2" t="n">
        <v>60</v>
      </c>
      <c r="K2" s="2" t="s">
        <v>258</v>
      </c>
      <c r="L2" s="2" t="n">
        <v>0.053</v>
      </c>
      <c r="M2" s="2" t="n">
        <v>0.106</v>
      </c>
      <c r="N2" s="4" t="s">
        <v>71</v>
      </c>
      <c r="O2" s="2" t="n">
        <f aca="false">L2</f>
        <v>0.053</v>
      </c>
      <c r="P2" s="2" t="n">
        <f aca="false">ROUNDUP(ROUND(E2,6)*10,0)/10</f>
        <v>0.2</v>
      </c>
      <c r="Q2" s="2" t="n">
        <f aca="false">MAX(0.1,ROUNDUP(ROUND(O2,6)*10,0)/10)</f>
        <v>0.1</v>
      </c>
      <c r="R2" s="2" t="str">
        <f aca="false">IF(P2&lt;&gt;Q2,"yes","no")</f>
        <v>yes</v>
      </c>
      <c r="S2" s="2"/>
    </row>
    <row r="3" customFormat="false" ht="15" hidden="false" customHeight="false" outlineLevel="0" collapsed="false">
      <c r="A3" s="2" t="n">
        <v>313</v>
      </c>
      <c r="B3" s="2" t="s">
        <v>259</v>
      </c>
      <c r="C3" s="2" t="s">
        <v>260</v>
      </c>
      <c r="D3" s="2" t="s">
        <v>48</v>
      </c>
      <c r="E3" s="2" t="n">
        <v>0.25</v>
      </c>
      <c r="F3" s="2" t="s">
        <v>256</v>
      </c>
      <c r="G3" s="2" t="s">
        <v>257</v>
      </c>
      <c r="H3" s="2"/>
      <c r="I3" s="2" t="n">
        <v>590</v>
      </c>
      <c r="J3" s="2" t="n">
        <v>50</v>
      </c>
      <c r="K3" s="2" t="s">
        <v>258</v>
      </c>
      <c r="L3" s="2" t="n">
        <v>0.059</v>
      </c>
      <c r="M3" s="2" t="n">
        <v>0.1115</v>
      </c>
      <c r="N3" s="4" t="s">
        <v>71</v>
      </c>
      <c r="O3" s="2" t="n">
        <f aca="false">L3</f>
        <v>0.059</v>
      </c>
      <c r="P3" s="2" t="n">
        <f aca="false">ROUNDUP(ROUND(E3,6)*10,0)/10</f>
        <v>0.3</v>
      </c>
      <c r="Q3" s="2" t="n">
        <f aca="false">MAX(0.1,ROUNDUP(ROUND(O3,6)*10,0)/10)</f>
        <v>0.1</v>
      </c>
      <c r="R3" s="2" t="str">
        <f aca="false">IF(P3&lt;&gt;Q3,"yes","no")</f>
        <v>yes</v>
      </c>
      <c r="S3" s="2"/>
    </row>
    <row r="4" customFormat="false" ht="15" hidden="false" customHeight="false" outlineLevel="0" collapsed="false">
      <c r="A4" s="2" t="n">
        <v>314</v>
      </c>
      <c r="B4" s="2" t="s">
        <v>261</v>
      </c>
      <c r="C4" s="2" t="s">
        <v>262</v>
      </c>
      <c r="D4" s="2" t="s">
        <v>39</v>
      </c>
      <c r="E4" s="2" t="n">
        <v>0.265</v>
      </c>
      <c r="F4" s="2" t="s">
        <v>256</v>
      </c>
      <c r="G4" s="2" t="s">
        <v>257</v>
      </c>
      <c r="H4" s="2"/>
      <c r="I4" s="2" t="n">
        <v>620</v>
      </c>
      <c r="J4" s="2" t="n">
        <v>60</v>
      </c>
      <c r="K4" s="2" t="s">
        <v>258</v>
      </c>
      <c r="L4" s="2" t="n">
        <v>0.073</v>
      </c>
      <c r="M4" s="2" t="n">
        <v>0.12</v>
      </c>
      <c r="N4" s="4" t="s">
        <v>71</v>
      </c>
      <c r="O4" s="2" t="n">
        <f aca="false">L4</f>
        <v>0.073</v>
      </c>
      <c r="P4" s="2" t="n">
        <f aca="false">ROUNDUP(ROUND(E4,6)*10,0)/10</f>
        <v>0.3</v>
      </c>
      <c r="Q4" s="2" t="n">
        <f aca="false">MAX(0.1,ROUNDUP(ROUND(O4,6)*10,0)/10)</f>
        <v>0.1</v>
      </c>
      <c r="R4" s="2" t="str">
        <f aca="false">IF(P4&lt;&gt;Q4,"yes","no")</f>
        <v>yes</v>
      </c>
      <c r="S4" s="2"/>
    </row>
    <row r="5" customFormat="false" ht="15" hidden="false" customHeight="false" outlineLevel="0" collapsed="false">
      <c r="A5" s="2" t="n">
        <v>323</v>
      </c>
      <c r="B5" s="2" t="s">
        <v>263</v>
      </c>
      <c r="C5" s="2" t="s">
        <v>262</v>
      </c>
      <c r="D5" s="2" t="s">
        <v>39</v>
      </c>
      <c r="E5" s="2" t="n">
        <v>0.285</v>
      </c>
      <c r="F5" s="2" t="s">
        <v>256</v>
      </c>
      <c r="G5" s="2" t="s">
        <v>257</v>
      </c>
      <c r="H5" s="2"/>
      <c r="I5" s="2" t="n">
        <v>660</v>
      </c>
      <c r="J5" s="2" t="n">
        <v>60</v>
      </c>
      <c r="K5" s="2" t="s">
        <v>258</v>
      </c>
      <c r="L5" s="2" t="n">
        <v>0.089</v>
      </c>
      <c r="M5" s="2" t="n">
        <v>0.1275</v>
      </c>
      <c r="N5" s="4" t="s">
        <v>71</v>
      </c>
      <c r="O5" s="2" t="n">
        <f aca="false">L5</f>
        <v>0.089</v>
      </c>
      <c r="P5" s="2" t="n">
        <f aca="false">ROUNDUP(ROUND(E5,6)*10,0)/10</f>
        <v>0.3</v>
      </c>
      <c r="Q5" s="2" t="n">
        <f aca="false">MAX(0.1,ROUNDUP(ROUND(O5,6)*10,0)/10)</f>
        <v>0.1</v>
      </c>
      <c r="R5" s="2" t="str">
        <f aca="false">IF(P5&lt;&gt;Q5,"yes","no")</f>
        <v>yes</v>
      </c>
      <c r="S5" s="2"/>
    </row>
    <row r="6" customFormat="false" ht="15" hidden="false" customHeight="false" outlineLevel="0" collapsed="false">
      <c r="A6" s="2" t="n">
        <v>315</v>
      </c>
      <c r="B6" s="2" t="s">
        <v>264</v>
      </c>
      <c r="C6" s="2" t="s">
        <v>260</v>
      </c>
      <c r="D6" s="2" t="s">
        <v>48</v>
      </c>
      <c r="E6" s="2" t="n">
        <v>0.4</v>
      </c>
      <c r="F6" s="2" t="s">
        <v>256</v>
      </c>
      <c r="G6" s="2" t="s">
        <v>257</v>
      </c>
      <c r="H6" s="2"/>
      <c r="I6" s="2" t="n">
        <v>750</v>
      </c>
      <c r="J6" s="2" t="n">
        <v>60</v>
      </c>
      <c r="K6" s="2" t="s">
        <v>258</v>
      </c>
      <c r="L6" s="2" t="n">
        <v>0.148</v>
      </c>
      <c r="M6" s="2" t="n">
        <v>0.163</v>
      </c>
      <c r="N6" s="4" t="s">
        <v>71</v>
      </c>
      <c r="O6" s="2" t="n">
        <f aca="false">L6</f>
        <v>0.148</v>
      </c>
      <c r="P6" s="2" t="n">
        <f aca="false">ROUNDUP(ROUND(E6,6)*10,0)/10</f>
        <v>0.4</v>
      </c>
      <c r="Q6" s="2" t="n">
        <f aca="false">MAX(0.1,ROUNDUP(ROUND(O6,6)*10,0)/10)</f>
        <v>0.2</v>
      </c>
      <c r="R6" s="2" t="str">
        <f aca="false">IF(P6&lt;&gt;Q6,"yes","no")</f>
        <v>yes</v>
      </c>
      <c r="S6" s="2"/>
    </row>
    <row r="7" customFormat="false" ht="15" hidden="false" customHeight="false" outlineLevel="0" collapsed="false">
      <c r="A7" s="2" t="n">
        <v>322</v>
      </c>
      <c r="B7" s="2" t="s">
        <v>265</v>
      </c>
      <c r="C7" s="2" t="s">
        <v>262</v>
      </c>
      <c r="D7" s="2" t="s">
        <v>39</v>
      </c>
      <c r="E7" s="2" t="n">
        <v>0.865</v>
      </c>
      <c r="F7" s="2" t="s">
        <v>256</v>
      </c>
      <c r="G7" s="2" t="s">
        <v>257</v>
      </c>
      <c r="H7" s="2"/>
      <c r="I7" s="2" t="n">
        <v>1310</v>
      </c>
      <c r="J7" s="2" t="n">
        <v>60</v>
      </c>
      <c r="K7" s="2" t="s">
        <v>258</v>
      </c>
      <c r="L7" s="2" t="n">
        <v>0.644</v>
      </c>
      <c r="M7" s="2" t="n">
        <v>0.1595</v>
      </c>
      <c r="N7" s="4" t="s">
        <v>71</v>
      </c>
      <c r="O7" s="2" t="n">
        <f aca="false">L7</f>
        <v>0.644</v>
      </c>
      <c r="P7" s="2" t="n">
        <f aca="false">ROUNDUP(ROUND(E7,6)*10,0)/10</f>
        <v>0.9</v>
      </c>
      <c r="Q7" s="2" t="n">
        <f aca="false">MAX(0.1,ROUNDUP(ROUND(O7,6)*10,0)/10)</f>
        <v>0.7</v>
      </c>
      <c r="R7" s="2" t="str">
        <f aca="false">IF(P7&lt;&gt;Q7,"yes","no")</f>
        <v>yes</v>
      </c>
      <c r="S7" s="2"/>
    </row>
    <row r="8" customFormat="false" ht="15" hidden="false" customHeight="false" outlineLevel="0" collapsed="false">
      <c r="A8" s="2" t="n">
        <v>308</v>
      </c>
      <c r="B8" s="2" t="s">
        <v>266</v>
      </c>
      <c r="C8" s="2" t="s">
        <v>262</v>
      </c>
      <c r="D8" s="2" t="s">
        <v>39</v>
      </c>
      <c r="E8" s="2" t="n">
        <v>0.97</v>
      </c>
      <c r="F8" s="2" t="s">
        <v>256</v>
      </c>
      <c r="G8" s="2" t="s">
        <v>257</v>
      </c>
      <c r="H8" s="2"/>
      <c r="I8" s="2" t="n">
        <v>1450</v>
      </c>
      <c r="J8" s="2" t="n">
        <v>70</v>
      </c>
      <c r="K8" s="2" t="s">
        <v>258</v>
      </c>
      <c r="L8" s="2" t="n">
        <v>0.775</v>
      </c>
      <c r="M8" s="2" t="n">
        <v>0.1805</v>
      </c>
      <c r="N8" s="4" t="s">
        <v>71</v>
      </c>
      <c r="O8" s="2" t="n">
        <f aca="false">L8</f>
        <v>0.775</v>
      </c>
      <c r="P8" s="2" t="n">
        <f aca="false">ROUNDUP(ROUND(E8,6)*10,0)/10</f>
        <v>1</v>
      </c>
      <c r="Q8" s="2" t="n">
        <f aca="false">MAX(0.1,ROUNDUP(ROUND(O8,6)*10,0)/10)</f>
        <v>0.8</v>
      </c>
      <c r="R8" s="2" t="str">
        <f aca="false">IF(P8&lt;&gt;Q8,"yes","no")</f>
        <v>yes</v>
      </c>
      <c r="S8" s="2"/>
    </row>
    <row r="9" customFormat="false" ht="15" hidden="false" customHeight="false" outlineLevel="0" collapsed="false">
      <c r="A9" s="2" t="n">
        <v>310</v>
      </c>
      <c r="B9" s="2" t="s">
        <v>267</v>
      </c>
      <c r="C9" s="2" t="s">
        <v>262</v>
      </c>
      <c r="D9" s="2" t="s">
        <v>39</v>
      </c>
      <c r="E9" s="2" t="n">
        <v>1.045</v>
      </c>
      <c r="F9" s="2" t="s">
        <v>256</v>
      </c>
      <c r="G9" s="2" t="s">
        <v>257</v>
      </c>
      <c r="H9" s="2"/>
      <c r="I9" s="2" t="n">
        <v>1510</v>
      </c>
      <c r="J9" s="2" t="n">
        <v>70</v>
      </c>
      <c r="K9" s="2" t="s">
        <v>258</v>
      </c>
      <c r="L9" s="2" t="n">
        <v>0.829</v>
      </c>
      <c r="M9" s="2" t="n">
        <v>0.187</v>
      </c>
      <c r="N9" s="4" t="s">
        <v>71</v>
      </c>
      <c r="O9" s="2" t="n">
        <f aca="false">L9</f>
        <v>0.829</v>
      </c>
      <c r="P9" s="2" t="n">
        <f aca="false">ROUNDUP(ROUND(E9,6)*10,0)/10</f>
        <v>1.1</v>
      </c>
      <c r="Q9" s="2" t="n">
        <f aca="false">MAX(0.1,ROUNDUP(ROUND(O9,6)*10,0)/10)</f>
        <v>0.9</v>
      </c>
      <c r="R9" s="2" t="str">
        <f aca="false">IF(P9&lt;&gt;Q9,"yes","no")</f>
        <v>yes</v>
      </c>
      <c r="S9" s="2"/>
    </row>
    <row r="10" customFormat="false" ht="15" hidden="false" customHeight="false" outlineLevel="0" collapsed="false">
      <c r="A10" s="2" t="n">
        <v>309</v>
      </c>
      <c r="B10" s="2" t="s">
        <v>268</v>
      </c>
      <c r="C10" s="2" t="s">
        <v>262</v>
      </c>
      <c r="D10" s="2" t="s">
        <v>39</v>
      </c>
      <c r="E10" s="2" t="n">
        <v>1.075</v>
      </c>
      <c r="F10" s="2" t="s">
        <v>256</v>
      </c>
      <c r="G10" s="2" t="s">
        <v>257</v>
      </c>
      <c r="H10" s="2"/>
      <c r="I10" s="2" t="n">
        <v>1540</v>
      </c>
      <c r="J10" s="2" t="n">
        <v>60</v>
      </c>
      <c r="K10" s="2" t="s">
        <v>258</v>
      </c>
      <c r="L10" s="2" t="n">
        <v>0.856</v>
      </c>
      <c r="M10" s="2" t="n">
        <v>0.1805</v>
      </c>
      <c r="N10" s="4" t="s">
        <v>71</v>
      </c>
      <c r="O10" s="2" t="n">
        <f aca="false">L10</f>
        <v>0.856</v>
      </c>
      <c r="P10" s="2" t="n">
        <f aca="false">ROUNDUP(ROUND(E10,6)*10,0)/10</f>
        <v>1.1</v>
      </c>
      <c r="Q10" s="2" t="n">
        <f aca="false">MAX(0.1,ROUNDUP(ROUND(O10,6)*10,0)/10)</f>
        <v>0.9</v>
      </c>
      <c r="R10" s="2" t="str">
        <f aca="false">IF(P10&lt;&gt;Q10,"yes","no")</f>
        <v>yes</v>
      </c>
      <c r="S10" s="2"/>
    </row>
    <row r="11" customFormat="false" ht="15" hidden="false" customHeight="false" outlineLevel="0" collapsed="false">
      <c r="A11" s="2" t="n">
        <v>280</v>
      </c>
      <c r="B11" s="2" t="s">
        <v>269</v>
      </c>
      <c r="C11" s="2" t="s">
        <v>262</v>
      </c>
      <c r="D11" s="2" t="s">
        <v>39</v>
      </c>
      <c r="E11" s="2" t="n">
        <v>1.18</v>
      </c>
      <c r="F11" s="2" t="s">
        <v>256</v>
      </c>
      <c r="G11" s="2" t="s">
        <v>257</v>
      </c>
      <c r="H11" s="2"/>
      <c r="I11" s="2" t="n">
        <v>1630</v>
      </c>
      <c r="J11" s="2" t="n">
        <v>70</v>
      </c>
      <c r="K11" s="2" t="s">
        <v>258</v>
      </c>
      <c r="L11" s="2" t="n">
        <v>0.955</v>
      </c>
      <c r="M11" s="2" t="n">
        <v>0.206</v>
      </c>
      <c r="N11" s="4" t="s">
        <v>71</v>
      </c>
      <c r="O11" s="2" t="n">
        <f aca="false">L11</f>
        <v>0.955</v>
      </c>
      <c r="P11" s="2" t="n">
        <f aca="false">ROUNDUP(ROUND(E11,6)*10,0)/10</f>
        <v>1.2</v>
      </c>
      <c r="Q11" s="2" t="n">
        <f aca="false">MAX(0.1,ROUNDUP(ROUND(O11,6)*10,0)/10)</f>
        <v>1</v>
      </c>
      <c r="R11" s="2" t="str">
        <f aca="false">IF(P11&lt;&gt;Q11,"yes","no")</f>
        <v>yes</v>
      </c>
      <c r="S11" s="2"/>
    </row>
    <row r="12" customFormat="false" ht="15" hidden="false" customHeight="false" outlineLevel="0" collapsed="false">
      <c r="A12" s="2" t="n">
        <v>318</v>
      </c>
      <c r="B12" s="2" t="s">
        <v>270</v>
      </c>
      <c r="C12" s="2" t="s">
        <v>262</v>
      </c>
      <c r="D12" s="2" t="s">
        <v>39</v>
      </c>
      <c r="E12" s="2" t="n">
        <v>1.18</v>
      </c>
      <c r="F12" s="2" t="s">
        <v>256</v>
      </c>
      <c r="G12" s="2" t="s">
        <v>257</v>
      </c>
      <c r="H12" s="2"/>
      <c r="I12" s="2" t="n">
        <v>1630</v>
      </c>
      <c r="J12" s="2" t="n">
        <v>70</v>
      </c>
      <c r="K12" s="2" t="s">
        <v>258</v>
      </c>
      <c r="L12" s="2" t="n">
        <v>0.955</v>
      </c>
      <c r="M12" s="2" t="n">
        <v>0.206</v>
      </c>
      <c r="N12" s="4" t="s">
        <v>43</v>
      </c>
      <c r="O12" s="2" t="n">
        <f aca="false">L12</f>
        <v>0.955</v>
      </c>
      <c r="P12" s="2" t="n">
        <f aca="false">ROUNDUP(ROUND(E12,6)*10,0)/10</f>
        <v>1.2</v>
      </c>
      <c r="Q12" s="2" t="n">
        <f aca="false">MAX(0.1,ROUNDUP(ROUND(O12,6)*10,0)/10)</f>
        <v>1</v>
      </c>
      <c r="R12" s="2" t="str">
        <f aca="false">IF(P12&lt;&gt;Q12,"yes","no")</f>
        <v>yes</v>
      </c>
      <c r="S12" s="5" t="s">
        <v>271</v>
      </c>
    </row>
    <row r="13" customFormat="false" ht="15" hidden="false" customHeight="false" outlineLevel="0" collapsed="false">
      <c r="A13" s="2" t="n">
        <v>301</v>
      </c>
      <c r="B13" s="2" t="s">
        <v>272</v>
      </c>
      <c r="C13" s="2" t="s">
        <v>262</v>
      </c>
      <c r="D13" s="2" t="s">
        <v>39</v>
      </c>
      <c r="E13" s="2" t="n">
        <v>1.345</v>
      </c>
      <c r="F13" s="2" t="s">
        <v>256</v>
      </c>
      <c r="G13" s="2" t="s">
        <v>257</v>
      </c>
      <c r="H13" s="2"/>
      <c r="I13" s="2" t="n">
        <v>1830</v>
      </c>
      <c r="J13" s="2" t="n">
        <v>60</v>
      </c>
      <c r="K13" s="2" t="s">
        <v>258</v>
      </c>
      <c r="L13" s="2" t="n">
        <v>1.16</v>
      </c>
      <c r="M13" s="2" t="n">
        <v>0.1775</v>
      </c>
      <c r="N13" s="4" t="s">
        <v>71</v>
      </c>
      <c r="O13" s="2" t="n">
        <f aca="false">L13</f>
        <v>1.16</v>
      </c>
      <c r="P13" s="2" t="n">
        <f aca="false">ROUNDUP(ROUND(E13,6)*10,0)/10</f>
        <v>1.4</v>
      </c>
      <c r="Q13" s="2" t="n">
        <f aca="false">MAX(0.1,ROUNDUP(ROUND(O13,6)*10,0)/10)</f>
        <v>1.2</v>
      </c>
      <c r="R13" s="2" t="str">
        <f aca="false">IF(P13&lt;&gt;Q13,"yes","no")</f>
        <v>yes</v>
      </c>
      <c r="S13" s="2"/>
    </row>
    <row r="14" customFormat="false" ht="15" hidden="false" customHeight="false" outlineLevel="0" collapsed="false">
      <c r="A14" s="2" t="n">
        <v>311</v>
      </c>
      <c r="B14" s="2" t="s">
        <v>273</v>
      </c>
      <c r="C14" s="2" t="s">
        <v>260</v>
      </c>
      <c r="D14" s="2" t="s">
        <v>48</v>
      </c>
      <c r="E14" s="2" t="n">
        <v>1.555</v>
      </c>
      <c r="F14" s="2" t="s">
        <v>256</v>
      </c>
      <c r="G14" s="2" t="s">
        <v>257</v>
      </c>
      <c r="H14" s="2"/>
      <c r="I14" s="2" t="n">
        <v>2020</v>
      </c>
      <c r="J14" s="2" t="n">
        <v>70</v>
      </c>
      <c r="K14" s="2" t="s">
        <v>258</v>
      </c>
      <c r="L14" s="2" t="n">
        <v>1.355</v>
      </c>
      <c r="M14" s="2" t="n">
        <v>0.197</v>
      </c>
      <c r="N14" s="4" t="s">
        <v>71</v>
      </c>
      <c r="O14" s="2" t="n">
        <f aca="false">L14</f>
        <v>1.355</v>
      </c>
      <c r="P14" s="2" t="n">
        <f aca="false">ROUNDUP(ROUND(E14,6)*10,0)/10</f>
        <v>1.6</v>
      </c>
      <c r="Q14" s="2" t="n">
        <f aca="false">MAX(0.1,ROUNDUP(ROUND(O14,6)*10,0)/10)</f>
        <v>1.4</v>
      </c>
      <c r="R14" s="2" t="str">
        <f aca="false">IF(P14&lt;&gt;Q14,"yes","no")</f>
        <v>yes</v>
      </c>
      <c r="S14" s="2"/>
    </row>
    <row r="15" customFormat="false" ht="15" hidden="false" customHeight="false" outlineLevel="0" collapsed="false">
      <c r="A15" s="2" t="n">
        <v>284</v>
      </c>
      <c r="B15" s="2" t="s">
        <v>274</v>
      </c>
      <c r="C15" s="2" t="s">
        <v>262</v>
      </c>
      <c r="D15" s="2" t="s">
        <v>39</v>
      </c>
      <c r="E15" s="2" t="n">
        <v>1.682</v>
      </c>
      <c r="F15" s="2" t="s">
        <v>275</v>
      </c>
      <c r="G15" s="2" t="s">
        <v>257</v>
      </c>
      <c r="H15" s="2"/>
      <c r="I15" s="2" t="n">
        <v>2106</v>
      </c>
      <c r="J15" s="2" t="n">
        <v>30</v>
      </c>
      <c r="K15" s="2" t="s">
        <v>276</v>
      </c>
      <c r="L15" s="2" t="n">
        <v>1.438</v>
      </c>
      <c r="M15" s="2" t="n">
        <v>0.1495</v>
      </c>
      <c r="N15" s="4" t="s">
        <v>71</v>
      </c>
      <c r="O15" s="2" t="n">
        <f aca="false">L15</f>
        <v>1.438</v>
      </c>
      <c r="P15" s="2" t="n">
        <f aca="false">ROUNDUP(ROUND(E15,6)*10,0)/10</f>
        <v>1.7</v>
      </c>
      <c r="Q15" s="2" t="n">
        <f aca="false">MAX(0.1,ROUNDUP(ROUND(O15,6)*10,0)/10)</f>
        <v>1.5</v>
      </c>
      <c r="R15" s="2" t="str">
        <f aca="false">IF(P15&lt;&gt;Q15,"yes","no")</f>
        <v>yes</v>
      </c>
      <c r="S15" s="5" t="s">
        <v>277</v>
      </c>
    </row>
    <row r="16" customFormat="false" ht="15" hidden="false" customHeight="false" outlineLevel="0" collapsed="false">
      <c r="A16" s="2" t="n">
        <v>293</v>
      </c>
      <c r="B16" s="2" t="s">
        <v>278</v>
      </c>
      <c r="C16" s="2" t="s">
        <v>262</v>
      </c>
      <c r="D16" s="2" t="s">
        <v>39</v>
      </c>
      <c r="E16" s="2" t="n">
        <v>1.74</v>
      </c>
      <c r="F16" s="2" t="s">
        <v>256</v>
      </c>
      <c r="G16" s="2" t="s">
        <v>257</v>
      </c>
      <c r="H16" s="2" t="s">
        <v>279</v>
      </c>
      <c r="I16" s="2" t="n">
        <v>2175</v>
      </c>
      <c r="J16" s="2" t="n">
        <v>70</v>
      </c>
      <c r="K16" s="2" t="s">
        <v>258</v>
      </c>
      <c r="L16" s="2" t="n">
        <v>1.516</v>
      </c>
      <c r="M16" s="2" t="n">
        <v>0.2055</v>
      </c>
      <c r="N16" s="4" t="s">
        <v>71</v>
      </c>
      <c r="O16" s="2" t="n">
        <f aca="false">L16</f>
        <v>1.516</v>
      </c>
      <c r="P16" s="2" t="n">
        <f aca="false">ROUNDUP(ROUND(E16,6)*10,0)/10</f>
        <v>1.8</v>
      </c>
      <c r="Q16" s="2" t="n">
        <f aca="false">MAX(0.1,ROUNDUP(ROUND(O16,6)*10,0)/10)</f>
        <v>1.6</v>
      </c>
      <c r="R16" s="2" t="str">
        <f aca="false">IF(P16&lt;&gt;Q16,"yes","no")</f>
        <v>yes</v>
      </c>
      <c r="S16" s="2"/>
    </row>
    <row r="17" customFormat="false" ht="15" hidden="false" customHeight="false" outlineLevel="0" collapsed="false">
      <c r="A17" s="2" t="n">
        <v>295</v>
      </c>
      <c r="B17" s="2" t="s">
        <v>280</v>
      </c>
      <c r="C17" s="2" t="s">
        <v>262</v>
      </c>
      <c r="D17" s="2" t="s">
        <v>39</v>
      </c>
      <c r="E17" s="2" t="n">
        <v>1.78</v>
      </c>
      <c r="F17" s="2" t="s">
        <v>256</v>
      </c>
      <c r="G17" s="2" t="s">
        <v>257</v>
      </c>
      <c r="H17" s="2" t="s">
        <v>279</v>
      </c>
      <c r="I17" s="2" t="n">
        <v>2310</v>
      </c>
      <c r="J17" s="2" t="n">
        <v>70</v>
      </c>
      <c r="K17" s="2" t="s">
        <v>258</v>
      </c>
      <c r="L17" s="2" t="n">
        <v>1.671</v>
      </c>
      <c r="M17" s="2" t="n">
        <v>0.226</v>
      </c>
      <c r="N17" s="4" t="s">
        <v>43</v>
      </c>
      <c r="O17" s="2" t="n">
        <f aca="false">L17</f>
        <v>1.671</v>
      </c>
      <c r="P17" s="2" t="n">
        <f aca="false">ROUNDUP(ROUND(E17,6)*10,0)/10</f>
        <v>1.8</v>
      </c>
      <c r="Q17" s="2" t="n">
        <f aca="false">MAX(0.1,ROUNDUP(ROUND(O17,6)*10,0)/10)</f>
        <v>1.7</v>
      </c>
      <c r="R17" s="2" t="str">
        <f aca="false">IF(P17&lt;&gt;Q17,"yes","no")</f>
        <v>yes</v>
      </c>
      <c r="S17" s="5" t="s">
        <v>281</v>
      </c>
    </row>
    <row r="18" customFormat="false" ht="15" hidden="false" customHeight="false" outlineLevel="0" collapsed="false">
      <c r="A18" s="2" t="n">
        <v>294</v>
      </c>
      <c r="B18" s="2" t="s">
        <v>282</v>
      </c>
      <c r="C18" s="2" t="s">
        <v>262</v>
      </c>
      <c r="D18" s="2" t="s">
        <v>39</v>
      </c>
      <c r="E18" s="2" t="n">
        <v>1.84</v>
      </c>
      <c r="F18" s="2" t="s">
        <v>256</v>
      </c>
      <c r="G18" s="2" t="s">
        <v>257</v>
      </c>
      <c r="H18" s="2"/>
      <c r="I18" s="2" t="n">
        <v>2250</v>
      </c>
      <c r="J18" s="2" t="n">
        <v>80</v>
      </c>
      <c r="K18" s="2" t="s">
        <v>258</v>
      </c>
      <c r="L18" s="2" t="n">
        <v>1.641</v>
      </c>
      <c r="M18" s="2" t="n">
        <v>0.1975</v>
      </c>
      <c r="N18" s="4" t="s">
        <v>71</v>
      </c>
      <c r="O18" s="2" t="n">
        <f aca="false">L18</f>
        <v>1.641</v>
      </c>
      <c r="P18" s="2" t="n">
        <f aca="false">ROUNDUP(ROUND(E18,6)*10,0)/10</f>
        <v>1.9</v>
      </c>
      <c r="Q18" s="2" t="n">
        <f aca="false">MAX(0.1,ROUNDUP(ROUND(O18,6)*10,0)/10)</f>
        <v>1.7</v>
      </c>
      <c r="R18" s="2" t="str">
        <f aca="false">IF(P18&lt;&gt;Q18,"yes","no")</f>
        <v>yes</v>
      </c>
      <c r="S18" s="5" t="s">
        <v>283</v>
      </c>
    </row>
    <row r="19" customFormat="false" ht="15" hidden="false" customHeight="false" outlineLevel="0" collapsed="false">
      <c r="A19" s="2" t="n">
        <v>319</v>
      </c>
      <c r="B19" s="2" t="s">
        <v>284</v>
      </c>
      <c r="C19" s="2" t="s">
        <v>262</v>
      </c>
      <c r="D19" s="2" t="s">
        <v>39</v>
      </c>
      <c r="E19" s="2" t="n">
        <v>2.005</v>
      </c>
      <c r="F19" s="2" t="s">
        <v>256</v>
      </c>
      <c r="G19" s="2" t="s">
        <v>257</v>
      </c>
      <c r="H19" s="2"/>
      <c r="I19" s="2" t="n">
        <v>2400</v>
      </c>
      <c r="J19" s="2" t="n">
        <v>70</v>
      </c>
      <c r="K19" s="2" t="s">
        <v>258</v>
      </c>
      <c r="L19" s="2" t="n">
        <v>1.781</v>
      </c>
      <c r="M19" s="2" t="n">
        <v>0.227</v>
      </c>
      <c r="N19" s="4" t="s">
        <v>71</v>
      </c>
      <c r="O19" s="2" t="n">
        <f aca="false">L19</f>
        <v>1.781</v>
      </c>
      <c r="P19" s="2" t="n">
        <f aca="false">ROUNDUP(ROUND(E19,6)*10,0)/10</f>
        <v>2.1</v>
      </c>
      <c r="Q19" s="2" t="n">
        <f aca="false">MAX(0.1,ROUNDUP(ROUND(O19,6)*10,0)/10)</f>
        <v>1.8</v>
      </c>
      <c r="R19" s="2" t="str">
        <f aca="false">IF(P19&lt;&gt;Q19,"yes","no")</f>
        <v>yes</v>
      </c>
      <c r="S19" s="2"/>
    </row>
    <row r="20" customFormat="false" ht="15" hidden="false" customHeight="false" outlineLevel="0" collapsed="false">
      <c r="A20" s="2" t="n">
        <v>281</v>
      </c>
      <c r="B20" s="2" t="s">
        <v>284</v>
      </c>
      <c r="C20" s="2" t="s">
        <v>262</v>
      </c>
      <c r="D20" s="2" t="s">
        <v>39</v>
      </c>
      <c r="E20" s="2" t="n">
        <v>2.005</v>
      </c>
      <c r="F20" s="2" t="s">
        <v>256</v>
      </c>
      <c r="G20" s="2" t="s">
        <v>257</v>
      </c>
      <c r="H20" s="2"/>
      <c r="I20" s="2" t="n">
        <v>2400</v>
      </c>
      <c r="J20" s="2" t="n">
        <v>70</v>
      </c>
      <c r="K20" s="2" t="s">
        <v>258</v>
      </c>
      <c r="L20" s="2" t="n">
        <v>1.781</v>
      </c>
      <c r="M20" s="2" t="n">
        <v>0.227</v>
      </c>
      <c r="N20" s="4" t="s">
        <v>43</v>
      </c>
      <c r="O20" s="2" t="n">
        <f aca="false">L20</f>
        <v>1.781</v>
      </c>
      <c r="P20" s="2" t="n">
        <f aca="false">ROUNDUP(ROUND(E20,6)*10,0)/10</f>
        <v>2.1</v>
      </c>
      <c r="Q20" s="2" t="n">
        <f aca="false">MAX(0.1,ROUNDUP(ROUND(O20,6)*10,0)/10)</f>
        <v>1.8</v>
      </c>
      <c r="R20" s="2" t="str">
        <f aca="false">IF(P20&lt;&gt;Q20,"yes","no")</f>
        <v>yes</v>
      </c>
      <c r="S20" s="5" t="s">
        <v>271</v>
      </c>
    </row>
    <row r="21" customFormat="false" ht="15" hidden="false" customHeight="false" outlineLevel="0" collapsed="false">
      <c r="A21" s="2" t="n">
        <v>297</v>
      </c>
      <c r="B21" s="2" t="s">
        <v>285</v>
      </c>
      <c r="C21" s="2" t="s">
        <v>260</v>
      </c>
      <c r="D21" s="2" t="s">
        <v>48</v>
      </c>
      <c r="E21" s="2" t="n">
        <v>2.225</v>
      </c>
      <c r="F21" s="2" t="s">
        <v>256</v>
      </c>
      <c r="G21" s="2" t="s">
        <v>257</v>
      </c>
      <c r="H21" s="2" t="s">
        <v>279</v>
      </c>
      <c r="I21" s="2" t="n">
        <v>2755</v>
      </c>
      <c r="J21" s="2" t="n">
        <v>65</v>
      </c>
      <c r="K21" s="2" t="s">
        <v>258</v>
      </c>
      <c r="L21" s="2" t="n">
        <v>2.217</v>
      </c>
      <c r="M21" s="2" t="n">
        <v>0.2295</v>
      </c>
      <c r="N21" s="4" t="s">
        <v>71</v>
      </c>
      <c r="O21" s="2" t="n">
        <f aca="false">L21</f>
        <v>2.217</v>
      </c>
      <c r="P21" s="2" t="n">
        <f aca="false">ROUNDUP(ROUND(E21,6)*10,0)/10</f>
        <v>2.3</v>
      </c>
      <c r="Q21" s="2" t="n">
        <f aca="false">MAX(0.1,ROUNDUP(ROUND(O21,6)*10,0)/10)</f>
        <v>2.3</v>
      </c>
      <c r="R21" s="2" t="str">
        <f aca="false">IF(P21&lt;&gt;Q21,"yes","no")</f>
        <v>no</v>
      </c>
      <c r="S21" s="5" t="s">
        <v>286</v>
      </c>
    </row>
    <row r="22" customFormat="false" ht="15" hidden="false" customHeight="false" outlineLevel="0" collapsed="false">
      <c r="A22" s="2" t="n">
        <v>316</v>
      </c>
      <c r="B22" s="2" t="s">
        <v>287</v>
      </c>
      <c r="C22" s="2" t="s">
        <v>260</v>
      </c>
      <c r="D22" s="2" t="s">
        <v>48</v>
      </c>
      <c r="E22" s="2" t="n">
        <v>2.305</v>
      </c>
      <c r="F22" s="2" t="s">
        <v>256</v>
      </c>
      <c r="G22" s="2" t="s">
        <v>257</v>
      </c>
      <c r="H22" s="2"/>
      <c r="I22" s="2" t="n">
        <v>2620</v>
      </c>
      <c r="J22" s="2" t="n">
        <v>80</v>
      </c>
      <c r="K22" s="2" t="s">
        <v>258</v>
      </c>
      <c r="L22" s="2" t="n">
        <v>2.054</v>
      </c>
      <c r="M22" s="2" t="n">
        <v>0.2485</v>
      </c>
      <c r="N22" s="4" t="s">
        <v>71</v>
      </c>
      <c r="O22" s="2" t="n">
        <f aca="false">L22</f>
        <v>2.054</v>
      </c>
      <c r="P22" s="2" t="n">
        <f aca="false">ROUNDUP(ROUND(E22,6)*10,0)/10</f>
        <v>2.4</v>
      </c>
      <c r="Q22" s="2" t="n">
        <f aca="false">MAX(0.1,ROUNDUP(ROUND(O22,6)*10,0)/10)</f>
        <v>2.1</v>
      </c>
      <c r="R22" s="2" t="str">
        <f aca="false">IF(P22&lt;&gt;Q22,"yes","no")</f>
        <v>yes</v>
      </c>
      <c r="S22" s="2"/>
    </row>
    <row r="23" customFormat="false" ht="15" hidden="false" customHeight="false" outlineLevel="0" collapsed="false">
      <c r="A23" s="2" t="n">
        <v>296</v>
      </c>
      <c r="B23" s="2" t="s">
        <v>288</v>
      </c>
      <c r="C23" s="2" t="s">
        <v>260</v>
      </c>
      <c r="D23" s="2" t="s">
        <v>48</v>
      </c>
      <c r="E23" s="2" t="n">
        <v>2.725</v>
      </c>
      <c r="F23" s="2" t="s">
        <v>256</v>
      </c>
      <c r="G23" s="2" t="s">
        <v>257</v>
      </c>
      <c r="H23" s="2"/>
      <c r="I23" s="2" t="n">
        <v>2950</v>
      </c>
      <c r="J23" s="2" t="n">
        <v>70</v>
      </c>
      <c r="K23" s="2" t="s">
        <v>258</v>
      </c>
      <c r="L23" s="2" t="n">
        <v>2.475</v>
      </c>
      <c r="M23" s="2" t="n">
        <v>0.23</v>
      </c>
      <c r="N23" s="4" t="s">
        <v>71</v>
      </c>
      <c r="O23" s="2" t="n">
        <f aca="false">L23</f>
        <v>2.475</v>
      </c>
      <c r="P23" s="2" t="n">
        <f aca="false">ROUNDUP(ROUND(E23,6)*10,0)/10</f>
        <v>2.8</v>
      </c>
      <c r="Q23" s="2" t="n">
        <f aca="false">MAX(0.1,ROUNDUP(ROUND(O23,6)*10,0)/10)</f>
        <v>2.5</v>
      </c>
      <c r="R23" s="2" t="str">
        <f aca="false">IF(P23&lt;&gt;Q23,"yes","no")</f>
        <v>yes</v>
      </c>
      <c r="S23" s="2"/>
    </row>
    <row r="24" customFormat="false" ht="15" hidden="false" customHeight="false" outlineLevel="0" collapsed="false">
      <c r="A24" s="2" t="n">
        <v>317</v>
      </c>
      <c r="B24" s="2" t="s">
        <v>289</v>
      </c>
      <c r="C24" s="2" t="s">
        <v>260</v>
      </c>
      <c r="D24" s="2" t="s">
        <v>48</v>
      </c>
      <c r="E24" s="2" t="n">
        <v>2.84</v>
      </c>
      <c r="F24" s="2" t="s">
        <v>256</v>
      </c>
      <c r="G24" s="2" t="s">
        <v>257</v>
      </c>
      <c r="H24" s="2"/>
      <c r="I24" s="2" t="n">
        <v>3090</v>
      </c>
      <c r="J24" s="2" t="n">
        <v>70</v>
      </c>
      <c r="K24" s="2" t="s">
        <v>258</v>
      </c>
      <c r="L24" s="2" t="n">
        <v>2.632</v>
      </c>
      <c r="M24" s="2" t="n">
        <v>0.2295</v>
      </c>
      <c r="N24" s="4" t="s">
        <v>71</v>
      </c>
      <c r="O24" s="2" t="n">
        <f aca="false">L24</f>
        <v>2.632</v>
      </c>
      <c r="P24" s="2" t="n">
        <f aca="false">ROUNDUP(ROUND(E24,6)*10,0)/10</f>
        <v>2.9</v>
      </c>
      <c r="Q24" s="2" t="n">
        <f aca="false">MAX(0.1,ROUNDUP(ROUND(O24,6)*10,0)/10)</f>
        <v>2.7</v>
      </c>
      <c r="R24" s="2" t="str">
        <f aca="false">IF(P24&lt;&gt;Q24,"yes","no")</f>
        <v>yes</v>
      </c>
      <c r="S24" s="2"/>
    </row>
    <row r="25" customFormat="false" ht="15" hidden="false" customHeight="false" outlineLevel="0" collapsed="false">
      <c r="A25" s="2" t="n">
        <v>285</v>
      </c>
      <c r="B25" s="2" t="s">
        <v>290</v>
      </c>
      <c r="C25" s="2" t="s">
        <v>291</v>
      </c>
      <c r="D25" s="2" t="s">
        <v>48</v>
      </c>
      <c r="E25" s="2" t="n">
        <v>2.92</v>
      </c>
      <c r="F25" s="2" t="s">
        <v>275</v>
      </c>
      <c r="G25" s="2" t="s">
        <v>257</v>
      </c>
      <c r="H25" s="2"/>
      <c r="I25" s="2" t="n">
        <v>3139</v>
      </c>
      <c r="J25" s="2" t="n">
        <v>70</v>
      </c>
      <c r="K25" s="2" t="s">
        <v>292</v>
      </c>
      <c r="L25" s="2" t="n">
        <v>2.697</v>
      </c>
      <c r="M25" s="2" t="n">
        <v>0.237</v>
      </c>
      <c r="N25" s="4" t="s">
        <v>71</v>
      </c>
      <c r="O25" s="2" t="n">
        <f aca="false">L25</f>
        <v>2.697</v>
      </c>
      <c r="P25" s="2" t="n">
        <f aca="false">ROUNDUP(ROUND(E25,6)*10,0)/10</f>
        <v>3</v>
      </c>
      <c r="Q25" s="2" t="n">
        <f aca="false">MAX(0.1,ROUNDUP(ROUND(O25,6)*10,0)/10)</f>
        <v>2.7</v>
      </c>
      <c r="R25" s="2" t="str">
        <f aca="false">IF(P25&lt;&gt;Q25,"yes","no")</f>
        <v>yes</v>
      </c>
      <c r="S25" s="5" t="s">
        <v>293</v>
      </c>
    </row>
    <row r="26" customFormat="false" ht="15" hidden="false" customHeight="false" outlineLevel="0" collapsed="false">
      <c r="A26" s="2" t="n">
        <v>288</v>
      </c>
      <c r="B26" s="2" t="s">
        <v>294</v>
      </c>
      <c r="C26" s="2" t="s">
        <v>262</v>
      </c>
      <c r="D26" s="2" t="s">
        <v>39</v>
      </c>
      <c r="E26" s="2" t="n">
        <v>3.32</v>
      </c>
      <c r="F26" s="2" t="s">
        <v>256</v>
      </c>
      <c r="G26" s="2" t="s">
        <v>257</v>
      </c>
      <c r="H26" s="2" t="s">
        <v>279</v>
      </c>
      <c r="I26" s="2" t="n">
        <v>3440</v>
      </c>
      <c r="J26" s="2" t="n">
        <v>70</v>
      </c>
      <c r="K26" s="2" t="s">
        <v>258</v>
      </c>
      <c r="L26" s="2" t="n">
        <v>3.056</v>
      </c>
      <c r="M26" s="2" t="n">
        <v>0.2395</v>
      </c>
      <c r="N26" s="4" t="s">
        <v>71</v>
      </c>
      <c r="O26" s="2" t="n">
        <f aca="false">L26</f>
        <v>3.056</v>
      </c>
      <c r="P26" s="2" t="n">
        <f aca="false">ROUNDUP(ROUND(E26,6)*10,0)/10</f>
        <v>3.4</v>
      </c>
      <c r="Q26" s="2" t="n">
        <f aca="false">MAX(0.1,ROUNDUP(ROUND(O26,6)*10,0)/10)</f>
        <v>3.1</v>
      </c>
      <c r="R26" s="2" t="str">
        <f aca="false">IF(P26&lt;&gt;Q26,"yes","no")</f>
        <v>yes</v>
      </c>
      <c r="S26" s="2"/>
    </row>
    <row r="27" customFormat="false" ht="15" hidden="false" customHeight="false" outlineLevel="0" collapsed="false">
      <c r="A27" s="2" t="n">
        <v>304</v>
      </c>
      <c r="B27" s="2" t="s">
        <v>295</v>
      </c>
      <c r="C27" s="2" t="s">
        <v>296</v>
      </c>
      <c r="D27" s="2" t="s">
        <v>48</v>
      </c>
      <c r="E27" s="2" t="n">
        <v>3.365</v>
      </c>
      <c r="F27" s="2" t="s">
        <v>256</v>
      </c>
      <c r="G27" s="2" t="s">
        <v>257</v>
      </c>
      <c r="H27" s="2"/>
      <c r="I27" s="2" t="n">
        <v>3500</v>
      </c>
      <c r="J27" s="2" t="n">
        <v>60</v>
      </c>
      <c r="K27" s="2" t="s">
        <v>258</v>
      </c>
      <c r="L27" s="2" t="n">
        <v>3.132</v>
      </c>
      <c r="M27" s="2" t="n">
        <v>0.2185</v>
      </c>
      <c r="N27" s="4" t="s">
        <v>71</v>
      </c>
      <c r="O27" s="2" t="n">
        <f aca="false">L27</f>
        <v>3.132</v>
      </c>
      <c r="P27" s="2" t="n">
        <f aca="false">ROUNDUP(ROUND(E27,6)*10,0)/10</f>
        <v>3.4</v>
      </c>
      <c r="Q27" s="2" t="n">
        <f aca="false">MAX(0.1,ROUNDUP(ROUND(O27,6)*10,0)/10)</f>
        <v>3.2</v>
      </c>
      <c r="R27" s="2" t="str">
        <f aca="false">IF(P27&lt;&gt;Q27,"yes","no")</f>
        <v>yes</v>
      </c>
      <c r="S27" s="2"/>
    </row>
    <row r="28" customFormat="false" ht="15" hidden="false" customHeight="false" outlineLevel="0" collapsed="false">
      <c r="A28" s="2" t="n">
        <v>289</v>
      </c>
      <c r="B28" s="2" t="s">
        <v>297</v>
      </c>
      <c r="C28" s="2" t="s">
        <v>262</v>
      </c>
      <c r="D28" s="2" t="s">
        <v>39</v>
      </c>
      <c r="E28" s="2" t="n">
        <v>3.39</v>
      </c>
      <c r="F28" s="2" t="s">
        <v>256</v>
      </c>
      <c r="G28" s="2" t="s">
        <v>257</v>
      </c>
      <c r="H28" s="2"/>
      <c r="I28" s="2" t="n">
        <v>4010</v>
      </c>
      <c r="J28" s="2" t="n">
        <v>80</v>
      </c>
      <c r="K28" s="2" t="s">
        <v>258</v>
      </c>
      <c r="L28" s="2" t="n">
        <v>3.757</v>
      </c>
      <c r="M28" s="2" t="n">
        <v>0.2675</v>
      </c>
      <c r="N28" s="4" t="s">
        <v>71</v>
      </c>
      <c r="O28" s="2" t="n">
        <f aca="false">L28</f>
        <v>3.757</v>
      </c>
      <c r="P28" s="2" t="n">
        <f aca="false">ROUNDUP(ROUND(E28,6)*10,0)/10</f>
        <v>3.4</v>
      </c>
      <c r="Q28" s="2" t="n">
        <f aca="false">MAX(0.1,ROUNDUP(ROUND(O28,6)*10,0)/10)</f>
        <v>3.8</v>
      </c>
      <c r="R28" s="2" t="str">
        <f aca="false">IF(P28&lt;&gt;Q28,"yes","no")</f>
        <v>yes</v>
      </c>
      <c r="S28" s="5" t="s">
        <v>298</v>
      </c>
    </row>
    <row r="29" customFormat="false" ht="15" hidden="false" customHeight="false" outlineLevel="0" collapsed="false">
      <c r="A29" s="2" t="n">
        <v>286</v>
      </c>
      <c r="B29" s="2" t="s">
        <v>299</v>
      </c>
      <c r="C29" s="2" t="s">
        <v>291</v>
      </c>
      <c r="D29" s="2" t="s">
        <v>48</v>
      </c>
      <c r="E29" s="2" t="n">
        <v>3.84</v>
      </c>
      <c r="F29" s="2" t="s">
        <v>275</v>
      </c>
      <c r="G29" s="2" t="s">
        <v>257</v>
      </c>
      <c r="H29" s="2"/>
      <c r="I29" s="2" t="n">
        <v>3880</v>
      </c>
      <c r="J29" s="2" t="n">
        <v>50</v>
      </c>
      <c r="K29" s="2" t="s">
        <v>276</v>
      </c>
      <c r="L29" s="2" t="n">
        <v>3.591</v>
      </c>
      <c r="M29" s="2" t="n">
        <v>0.202</v>
      </c>
      <c r="N29" s="4" t="s">
        <v>71</v>
      </c>
      <c r="O29" s="2" t="n">
        <f aca="false">L29</f>
        <v>3.591</v>
      </c>
      <c r="P29" s="2" t="n">
        <f aca="false">ROUNDUP(ROUND(E29,6)*10,0)/10</f>
        <v>3.9</v>
      </c>
      <c r="Q29" s="2" t="n">
        <f aca="false">MAX(0.1,ROUNDUP(ROUND(O29,6)*10,0)/10)</f>
        <v>3.6</v>
      </c>
      <c r="R29" s="2" t="str">
        <f aca="false">IF(P29&lt;&gt;Q29,"yes","no")</f>
        <v>yes</v>
      </c>
      <c r="S29" s="5" t="s">
        <v>300</v>
      </c>
    </row>
    <row r="30" customFormat="false" ht="15" hidden="false" customHeight="false" outlineLevel="0" collapsed="false">
      <c r="A30" s="2" t="n">
        <v>312</v>
      </c>
      <c r="B30" s="2" t="s">
        <v>301</v>
      </c>
      <c r="C30" s="2" t="s">
        <v>302</v>
      </c>
      <c r="D30" s="2" t="s">
        <v>48</v>
      </c>
      <c r="E30" s="2" t="n">
        <v>4.21</v>
      </c>
      <c r="F30" s="2" t="s">
        <v>256</v>
      </c>
      <c r="G30" s="2" t="s">
        <v>257</v>
      </c>
      <c r="H30" s="2"/>
      <c r="I30" s="2" t="n">
        <v>4150</v>
      </c>
      <c r="J30" s="2" t="n">
        <v>80</v>
      </c>
      <c r="K30" s="2" t="s">
        <v>258</v>
      </c>
      <c r="L30" s="2" t="n">
        <v>3.944</v>
      </c>
      <c r="M30" s="2" t="n">
        <v>0.272</v>
      </c>
      <c r="N30" s="4" t="s">
        <v>71</v>
      </c>
      <c r="O30" s="2" t="n">
        <f aca="false">L30</f>
        <v>3.944</v>
      </c>
      <c r="P30" s="2" t="n">
        <f aca="false">ROUNDUP(ROUND(E30,6)*10,0)/10</f>
        <v>4.3</v>
      </c>
      <c r="Q30" s="2" t="n">
        <f aca="false">MAX(0.1,ROUNDUP(ROUND(O30,6)*10,0)/10)</f>
        <v>4</v>
      </c>
      <c r="R30" s="2" t="str">
        <f aca="false">IF(P30&lt;&gt;Q30,"yes","no")</f>
        <v>yes</v>
      </c>
      <c r="S30" s="2"/>
    </row>
    <row r="31" customFormat="false" ht="15" hidden="false" customHeight="false" outlineLevel="0" collapsed="false">
      <c r="A31" s="2" t="n">
        <v>298</v>
      </c>
      <c r="B31" s="2" t="s">
        <v>303</v>
      </c>
      <c r="C31" s="2" t="s">
        <v>260</v>
      </c>
      <c r="D31" s="2" t="s">
        <v>48</v>
      </c>
      <c r="E31" s="2" t="n">
        <v>4.305</v>
      </c>
      <c r="F31" s="2" t="s">
        <v>256</v>
      </c>
      <c r="G31" s="2" t="s">
        <v>257</v>
      </c>
      <c r="H31" s="2"/>
      <c r="I31" s="2" t="n">
        <v>4220</v>
      </c>
      <c r="J31" s="2" t="n">
        <v>120</v>
      </c>
      <c r="K31" s="2" t="s">
        <v>258</v>
      </c>
      <c r="L31" s="2" t="n">
        <v>4.037</v>
      </c>
      <c r="M31" s="2" t="n">
        <v>0.3525</v>
      </c>
      <c r="N31" s="4" t="s">
        <v>71</v>
      </c>
      <c r="O31" s="2" t="n">
        <f aca="false">L31</f>
        <v>4.037</v>
      </c>
      <c r="P31" s="2" t="n">
        <f aca="false">ROUNDUP(ROUND(E31,6)*10,0)/10</f>
        <v>4.4</v>
      </c>
      <c r="Q31" s="2" t="n">
        <f aca="false">MAX(0.1,ROUNDUP(ROUND(O31,6)*10,0)/10)</f>
        <v>4.1</v>
      </c>
      <c r="R31" s="2" t="str">
        <f aca="false">IF(P31&lt;&gt;Q31,"yes","no")</f>
        <v>yes</v>
      </c>
      <c r="S31" s="2"/>
    </row>
    <row r="32" customFormat="false" ht="15" hidden="false" customHeight="false" outlineLevel="0" collapsed="false">
      <c r="A32" s="2" t="n">
        <v>302</v>
      </c>
      <c r="B32" s="2" t="s">
        <v>304</v>
      </c>
      <c r="C32" s="2" t="s">
        <v>305</v>
      </c>
      <c r="D32" s="2" t="s">
        <v>48</v>
      </c>
      <c r="E32" s="2" t="n">
        <v>4.495</v>
      </c>
      <c r="F32" s="2" t="s">
        <v>256</v>
      </c>
      <c r="G32" s="2" t="s">
        <v>257</v>
      </c>
      <c r="H32" s="2"/>
      <c r="I32" s="2" t="n">
        <v>4370</v>
      </c>
      <c r="J32" s="2" t="n">
        <v>90</v>
      </c>
      <c r="K32" s="2" t="s">
        <v>258</v>
      </c>
      <c r="L32" s="2" t="n">
        <v>4.235</v>
      </c>
      <c r="M32" s="2" t="n">
        <v>0.289</v>
      </c>
      <c r="N32" s="4" t="s">
        <v>71</v>
      </c>
      <c r="O32" s="2" t="n">
        <f aca="false">L32</f>
        <v>4.235</v>
      </c>
      <c r="P32" s="2" t="n">
        <f aca="false">ROUNDUP(ROUND(E32,6)*10,0)/10</f>
        <v>4.5</v>
      </c>
      <c r="Q32" s="2" t="n">
        <f aca="false">MAX(0.1,ROUNDUP(ROUND(O32,6)*10,0)/10)</f>
        <v>4.3</v>
      </c>
      <c r="R32" s="2" t="str">
        <f aca="false">IF(P32&lt;&gt;Q32,"yes","no")</f>
        <v>yes</v>
      </c>
      <c r="S32" s="2"/>
    </row>
    <row r="33" customFormat="false" ht="15" hidden="false" customHeight="false" outlineLevel="0" collapsed="false">
      <c r="A33" s="2" t="n">
        <v>290</v>
      </c>
      <c r="B33" s="2" t="s">
        <v>306</v>
      </c>
      <c r="C33" s="2" t="s">
        <v>262</v>
      </c>
      <c r="D33" s="2" t="s">
        <v>39</v>
      </c>
      <c r="E33" s="2" t="n">
        <v>4.57</v>
      </c>
      <c r="F33" s="2" t="s">
        <v>256</v>
      </c>
      <c r="G33" s="2" t="s">
        <v>257</v>
      </c>
      <c r="H33" s="2"/>
      <c r="I33" s="2" t="n">
        <v>4440</v>
      </c>
      <c r="J33" s="2" t="n">
        <v>100</v>
      </c>
      <c r="K33" s="2" t="s">
        <v>258</v>
      </c>
      <c r="L33" s="2" t="n">
        <v>4.326</v>
      </c>
      <c r="M33" s="2" t="n">
        <v>0.322</v>
      </c>
      <c r="N33" s="4" t="s">
        <v>71</v>
      </c>
      <c r="O33" s="2" t="n">
        <f aca="false">L33</f>
        <v>4.326</v>
      </c>
      <c r="P33" s="2" t="n">
        <f aca="false">ROUNDUP(ROUND(E33,6)*10,0)/10</f>
        <v>4.6</v>
      </c>
      <c r="Q33" s="2" t="n">
        <f aca="false">MAX(0.1,ROUNDUP(ROUND(O33,6)*10,0)/10)</f>
        <v>4.4</v>
      </c>
      <c r="R33" s="2" t="str">
        <f aca="false">IF(P33&lt;&gt;Q33,"yes","no")</f>
        <v>yes</v>
      </c>
      <c r="S33" s="2"/>
    </row>
    <row r="34" customFormat="false" ht="15" hidden="false" customHeight="false" outlineLevel="0" collapsed="false">
      <c r="A34" s="2" t="n">
        <v>287</v>
      </c>
      <c r="B34" s="2" t="s">
        <v>307</v>
      </c>
      <c r="C34" s="2" t="s">
        <v>262</v>
      </c>
      <c r="D34" s="2" t="s">
        <v>39</v>
      </c>
      <c r="E34" s="2" t="n">
        <v>4.795</v>
      </c>
      <c r="F34" s="2" t="s">
        <v>275</v>
      </c>
      <c r="G34" s="2" t="s">
        <v>257</v>
      </c>
      <c r="H34" s="2"/>
      <c r="I34" s="2" t="n">
        <v>4579</v>
      </c>
      <c r="J34" s="2" t="n">
        <v>40</v>
      </c>
      <c r="K34" s="2" t="s">
        <v>276</v>
      </c>
      <c r="L34" s="2" t="n">
        <v>4.513</v>
      </c>
      <c r="M34" s="2" t="n">
        <v>0.216</v>
      </c>
      <c r="N34" s="4" t="s">
        <v>71</v>
      </c>
      <c r="O34" s="2" t="n">
        <f aca="false">L34</f>
        <v>4.513</v>
      </c>
      <c r="P34" s="2" t="n">
        <f aca="false">ROUNDUP(ROUND(E34,6)*10,0)/10</f>
        <v>4.8</v>
      </c>
      <c r="Q34" s="2" t="n">
        <f aca="false">MAX(0.1,ROUNDUP(ROUND(O34,6)*10,0)/10)</f>
        <v>4.6</v>
      </c>
      <c r="R34" s="2" t="str">
        <f aca="false">IF(P34&lt;&gt;Q34,"yes","no")</f>
        <v>yes</v>
      </c>
      <c r="S34" s="5" t="s">
        <v>308</v>
      </c>
    </row>
    <row r="35" customFormat="false" ht="15" hidden="false" customHeight="false" outlineLevel="0" collapsed="false">
      <c r="A35" s="2" t="n">
        <v>255</v>
      </c>
      <c r="B35" s="2" t="s">
        <v>309</v>
      </c>
      <c r="C35" s="2" t="s">
        <v>310</v>
      </c>
      <c r="D35" s="2" t="s">
        <v>48</v>
      </c>
      <c r="E35" s="2" t="n">
        <v>4.86</v>
      </c>
      <c r="F35" s="2" t="s">
        <v>275</v>
      </c>
      <c r="G35" s="2" t="s">
        <v>257</v>
      </c>
      <c r="H35" s="2"/>
      <c r="I35" s="2" t="n">
        <v>4637</v>
      </c>
      <c r="J35" s="2" t="n">
        <v>100</v>
      </c>
      <c r="K35" s="2" t="s">
        <v>276</v>
      </c>
      <c r="L35" s="2" t="n">
        <v>4.587</v>
      </c>
      <c r="M35" s="2" t="n">
        <v>0.2915</v>
      </c>
      <c r="N35" s="4" t="s">
        <v>71</v>
      </c>
      <c r="O35" s="2" t="n">
        <f aca="false">L35</f>
        <v>4.587</v>
      </c>
      <c r="P35" s="2" t="n">
        <f aca="false">ROUNDUP(ROUND(E35,6)*10,0)/10</f>
        <v>4.9</v>
      </c>
      <c r="Q35" s="2" t="n">
        <f aca="false">MAX(0.1,ROUNDUP(ROUND(O35,6)*10,0)/10)</f>
        <v>4.6</v>
      </c>
      <c r="R35" s="2" t="str">
        <f aca="false">IF(P35&lt;&gt;Q35,"yes","no")</f>
        <v>yes</v>
      </c>
      <c r="S35" s="5" t="s">
        <v>311</v>
      </c>
    </row>
    <row r="36" customFormat="false" ht="15" hidden="false" customHeight="false" outlineLevel="0" collapsed="false">
      <c r="A36" s="2" t="n">
        <v>261</v>
      </c>
      <c r="B36" s="2" t="s">
        <v>312</v>
      </c>
      <c r="C36" s="2" t="s">
        <v>262</v>
      </c>
      <c r="D36" s="2" t="s">
        <v>39</v>
      </c>
      <c r="E36" s="2" t="n">
        <v>5.035</v>
      </c>
      <c r="F36" s="2" t="s">
        <v>275</v>
      </c>
      <c r="G36" s="2" t="s">
        <v>257</v>
      </c>
      <c r="H36" s="2"/>
      <c r="I36" s="2" t="n">
        <v>4771</v>
      </c>
      <c r="J36" s="2" t="n">
        <v>80</v>
      </c>
      <c r="K36" s="2" t="s">
        <v>276</v>
      </c>
      <c r="L36" s="2" t="n">
        <v>4.746</v>
      </c>
      <c r="M36" s="2" t="n">
        <v>0.268</v>
      </c>
      <c r="N36" s="4" t="s">
        <v>71</v>
      </c>
      <c r="O36" s="2" t="n">
        <f aca="false">L36</f>
        <v>4.746</v>
      </c>
      <c r="P36" s="2" t="n">
        <f aca="false">ROUNDUP(ROUND(E36,6)*10,0)/10</f>
        <v>5.1</v>
      </c>
      <c r="Q36" s="2" t="n">
        <f aca="false">MAX(0.1,ROUNDUP(ROUND(O36,6)*10,0)/10)</f>
        <v>4.8</v>
      </c>
      <c r="R36" s="2" t="str">
        <f aca="false">IF(P36&lt;&gt;Q36,"yes","no")</f>
        <v>yes</v>
      </c>
      <c r="S36" s="5" t="s">
        <v>313</v>
      </c>
    </row>
    <row r="37" customFormat="false" ht="15" hidden="false" customHeight="false" outlineLevel="0" collapsed="false">
      <c r="A37" s="2" t="n">
        <v>305</v>
      </c>
      <c r="B37" s="2" t="s">
        <v>314</v>
      </c>
      <c r="C37" s="2" t="s">
        <v>262</v>
      </c>
      <c r="D37" s="2" t="s">
        <v>39</v>
      </c>
      <c r="E37" s="2" t="n">
        <v>5.19</v>
      </c>
      <c r="F37" s="2" t="s">
        <v>256</v>
      </c>
      <c r="G37" s="2" t="s">
        <v>257</v>
      </c>
      <c r="H37" s="2"/>
      <c r="I37" s="2" t="n">
        <v>4860</v>
      </c>
      <c r="J37" s="2" t="n">
        <v>70</v>
      </c>
      <c r="K37" s="2" t="s">
        <v>258</v>
      </c>
      <c r="L37" s="2" t="n">
        <v>4.87</v>
      </c>
      <c r="M37" s="2" t="n">
        <v>0.2705</v>
      </c>
      <c r="N37" s="4" t="s">
        <v>71</v>
      </c>
      <c r="O37" s="2" t="n">
        <f aca="false">L37</f>
        <v>4.87</v>
      </c>
      <c r="P37" s="2" t="n">
        <f aca="false">ROUNDUP(ROUND(E37,6)*10,0)/10</f>
        <v>5.2</v>
      </c>
      <c r="Q37" s="2" t="n">
        <f aca="false">MAX(0.1,ROUNDUP(ROUND(O37,6)*10,0)/10)</f>
        <v>4.9</v>
      </c>
      <c r="R37" s="2" t="str">
        <f aca="false">IF(P37&lt;&gt;Q37,"yes","no")</f>
        <v>yes</v>
      </c>
      <c r="S37" s="2"/>
    </row>
    <row r="38" customFormat="false" ht="15" hidden="false" customHeight="false" outlineLevel="0" collapsed="false">
      <c r="A38" s="2" t="n">
        <v>299</v>
      </c>
      <c r="B38" s="2" t="s">
        <v>315</v>
      </c>
      <c r="C38" s="2" t="s">
        <v>262</v>
      </c>
      <c r="D38" s="2" t="s">
        <v>39</v>
      </c>
      <c r="E38" s="2" t="n">
        <v>5.27</v>
      </c>
      <c r="F38" s="2" t="s">
        <v>256</v>
      </c>
      <c r="G38" s="2" t="s">
        <v>257</v>
      </c>
      <c r="H38" s="2"/>
      <c r="I38" s="2" t="n">
        <v>4930</v>
      </c>
      <c r="J38" s="2" t="n">
        <v>80</v>
      </c>
      <c r="K38" s="2" t="s">
        <v>258</v>
      </c>
      <c r="L38" s="2" t="n">
        <v>4.961</v>
      </c>
      <c r="M38" s="2" t="n">
        <v>0.271</v>
      </c>
      <c r="N38" s="4" t="s">
        <v>71</v>
      </c>
      <c r="O38" s="2" t="n">
        <f aca="false">L38</f>
        <v>4.961</v>
      </c>
      <c r="P38" s="2" t="n">
        <f aca="false">ROUNDUP(ROUND(E38,6)*10,0)/10</f>
        <v>5.3</v>
      </c>
      <c r="Q38" s="2" t="n">
        <f aca="false">MAX(0.1,ROUNDUP(ROUND(O38,6)*10,0)/10)</f>
        <v>5</v>
      </c>
      <c r="R38" s="2" t="str">
        <f aca="false">IF(P38&lt;&gt;Q38,"yes","no")</f>
        <v>yes</v>
      </c>
      <c r="S38" s="2"/>
    </row>
    <row r="39" customFormat="false" ht="15" hidden="false" customHeight="false" outlineLevel="0" collapsed="false">
      <c r="A39" s="2" t="n">
        <v>256</v>
      </c>
      <c r="B39" s="2" t="s">
        <v>316</v>
      </c>
      <c r="C39" s="2" t="s">
        <v>260</v>
      </c>
      <c r="D39" s="2" t="s">
        <v>48</v>
      </c>
      <c r="E39" s="2" t="n">
        <v>5.54</v>
      </c>
      <c r="F39" s="2" t="s">
        <v>275</v>
      </c>
      <c r="G39" s="2" t="s">
        <v>257</v>
      </c>
      <c r="H39" s="2"/>
      <c r="I39" s="2" t="n">
        <v>5183</v>
      </c>
      <c r="J39" s="2" t="n">
        <v>65</v>
      </c>
      <c r="K39" s="2" t="s">
        <v>276</v>
      </c>
      <c r="L39" s="2" t="n">
        <v>5.273</v>
      </c>
      <c r="M39" s="2" t="n">
        <v>0.236</v>
      </c>
      <c r="N39" s="4" t="s">
        <v>71</v>
      </c>
      <c r="O39" s="2" t="n">
        <f aca="false">L39</f>
        <v>5.273</v>
      </c>
      <c r="P39" s="2" t="n">
        <f aca="false">ROUNDUP(ROUND(E39,6)*10,0)/10</f>
        <v>5.6</v>
      </c>
      <c r="Q39" s="2" t="n">
        <f aca="false">MAX(0.1,ROUNDUP(ROUND(O39,6)*10,0)/10)</f>
        <v>5.3</v>
      </c>
      <c r="R39" s="2" t="str">
        <f aca="false">IF(P39&lt;&gt;Q39,"yes","no")</f>
        <v>yes</v>
      </c>
      <c r="S39" s="5" t="s">
        <v>317</v>
      </c>
    </row>
    <row r="40" customFormat="false" ht="15" hidden="false" customHeight="false" outlineLevel="0" collapsed="false">
      <c r="A40" s="2" t="n">
        <v>303</v>
      </c>
      <c r="B40" s="2" t="s">
        <v>318</v>
      </c>
      <c r="C40" s="2" t="s">
        <v>319</v>
      </c>
      <c r="D40" s="2" t="s">
        <v>48</v>
      </c>
      <c r="E40" s="2" t="n">
        <v>5.665</v>
      </c>
      <c r="F40" s="2" t="s">
        <v>256</v>
      </c>
      <c r="G40" s="2" t="s">
        <v>257</v>
      </c>
      <c r="H40" s="2"/>
      <c r="I40" s="2" t="n">
        <v>5320</v>
      </c>
      <c r="J40" s="2" t="n">
        <v>70</v>
      </c>
      <c r="K40" s="2" t="s">
        <v>258</v>
      </c>
      <c r="L40" s="2" t="n">
        <v>5.425</v>
      </c>
      <c r="M40" s="2" t="n">
        <v>0.209</v>
      </c>
      <c r="N40" s="4" t="s">
        <v>71</v>
      </c>
      <c r="O40" s="2" t="n">
        <f aca="false">L40</f>
        <v>5.425</v>
      </c>
      <c r="P40" s="2" t="n">
        <f aca="false">ROUNDUP(ROUND(E40,6)*10,0)/10</f>
        <v>5.7</v>
      </c>
      <c r="Q40" s="2" t="n">
        <f aca="false">MAX(0.1,ROUNDUP(ROUND(O40,6)*10,0)/10)</f>
        <v>5.5</v>
      </c>
      <c r="R40" s="2" t="str">
        <f aca="false">IF(P40&lt;&gt;Q40,"yes","no")</f>
        <v>yes</v>
      </c>
      <c r="S40" s="2"/>
    </row>
    <row r="41" customFormat="false" ht="15" hidden="false" customHeight="false" outlineLevel="0" collapsed="false">
      <c r="A41" s="2" t="n">
        <v>276</v>
      </c>
      <c r="B41" s="2" t="s">
        <v>320</v>
      </c>
      <c r="C41" s="2" t="s">
        <v>291</v>
      </c>
      <c r="D41" s="2" t="s">
        <v>48</v>
      </c>
      <c r="E41" s="2" t="n">
        <v>5.77</v>
      </c>
      <c r="F41" s="2" t="s">
        <v>275</v>
      </c>
      <c r="G41" s="2" t="s">
        <v>257</v>
      </c>
      <c r="H41" s="2"/>
      <c r="I41" s="2" t="n">
        <v>5399</v>
      </c>
      <c r="J41" s="2" t="n">
        <v>55</v>
      </c>
      <c r="K41" s="2" t="s">
        <v>276</v>
      </c>
      <c r="L41" s="2" t="n">
        <v>5.507</v>
      </c>
      <c r="M41" s="2" t="n">
        <v>0.1895</v>
      </c>
      <c r="N41" s="4" t="s">
        <v>71</v>
      </c>
      <c r="O41" s="2" t="n">
        <f aca="false">L41</f>
        <v>5.507</v>
      </c>
      <c r="P41" s="2" t="n">
        <f aca="false">ROUNDUP(ROUND(E41,6)*10,0)/10</f>
        <v>5.8</v>
      </c>
      <c r="Q41" s="2" t="n">
        <f aca="false">MAX(0.1,ROUNDUP(ROUND(O41,6)*10,0)/10)</f>
        <v>5.6</v>
      </c>
      <c r="R41" s="2" t="str">
        <f aca="false">IF(P41&lt;&gt;Q41,"yes","no")</f>
        <v>yes</v>
      </c>
      <c r="S41" s="5" t="s">
        <v>321</v>
      </c>
    </row>
    <row r="42" customFormat="false" ht="15" hidden="false" customHeight="false" outlineLevel="0" collapsed="false">
      <c r="A42" s="2" t="n">
        <v>245</v>
      </c>
      <c r="B42" s="2" t="s">
        <v>322</v>
      </c>
      <c r="C42" s="2" t="s">
        <v>260</v>
      </c>
      <c r="D42" s="2" t="s">
        <v>48</v>
      </c>
      <c r="E42" s="2" t="n">
        <v>5.865</v>
      </c>
      <c r="F42" s="2" t="s">
        <v>275</v>
      </c>
      <c r="G42" s="2" t="s">
        <v>257</v>
      </c>
      <c r="H42" s="2"/>
      <c r="I42" s="2" t="n">
        <v>5493</v>
      </c>
      <c r="J42" s="2" t="n">
        <v>55</v>
      </c>
      <c r="K42" s="2" t="s">
        <v>276</v>
      </c>
      <c r="L42" s="2" t="n">
        <v>5.61</v>
      </c>
      <c r="M42" s="2" t="n">
        <v>0.2025</v>
      </c>
      <c r="N42" s="4" t="s">
        <v>71</v>
      </c>
      <c r="O42" s="2" t="n">
        <f aca="false">L42</f>
        <v>5.61</v>
      </c>
      <c r="P42" s="2" t="n">
        <f aca="false">ROUNDUP(ROUND(E42,6)*10,0)/10</f>
        <v>5.9</v>
      </c>
      <c r="Q42" s="2" t="n">
        <f aca="false">MAX(0.1,ROUNDUP(ROUND(O42,6)*10,0)/10)</f>
        <v>5.7</v>
      </c>
      <c r="R42" s="2" t="str">
        <f aca="false">IF(P42&lt;&gt;Q42,"yes","no")</f>
        <v>yes</v>
      </c>
      <c r="S42" s="5" t="s">
        <v>323</v>
      </c>
    </row>
    <row r="43" customFormat="false" ht="15" hidden="false" customHeight="false" outlineLevel="0" collapsed="false">
      <c r="A43" s="2" t="n">
        <v>244</v>
      </c>
      <c r="B43" s="2" t="s">
        <v>324</v>
      </c>
      <c r="C43" s="2" t="s">
        <v>262</v>
      </c>
      <c r="D43" s="2" t="s">
        <v>39</v>
      </c>
      <c r="E43" s="2" t="n">
        <v>5.885</v>
      </c>
      <c r="F43" s="2" t="s">
        <v>275</v>
      </c>
      <c r="G43" s="2" t="s">
        <v>257</v>
      </c>
      <c r="H43" s="2"/>
      <c r="I43" s="2" t="n">
        <v>5511</v>
      </c>
      <c r="J43" s="2" t="n">
        <v>70</v>
      </c>
      <c r="K43" s="2" t="s">
        <v>292</v>
      </c>
      <c r="L43" s="2" t="n">
        <v>5.631</v>
      </c>
      <c r="M43" s="2" t="n">
        <v>0.218</v>
      </c>
      <c r="N43" s="4" t="s">
        <v>71</v>
      </c>
      <c r="O43" s="2" t="n">
        <f aca="false">L43</f>
        <v>5.631</v>
      </c>
      <c r="P43" s="2" t="n">
        <f aca="false">ROUNDUP(ROUND(E43,6)*10,0)/10</f>
        <v>5.9</v>
      </c>
      <c r="Q43" s="2" t="n">
        <f aca="false">MAX(0.1,ROUNDUP(ROUND(O43,6)*10,0)/10)</f>
        <v>5.7</v>
      </c>
      <c r="R43" s="2" t="str">
        <f aca="false">IF(P43&lt;&gt;Q43,"yes","no")</f>
        <v>yes</v>
      </c>
      <c r="S43" s="5" t="s">
        <v>325</v>
      </c>
    </row>
    <row r="44" customFormat="false" ht="15" hidden="false" customHeight="false" outlineLevel="0" collapsed="false">
      <c r="A44" s="2" t="n">
        <v>251</v>
      </c>
      <c r="B44" s="2" t="s">
        <v>326</v>
      </c>
      <c r="C44" s="2" t="s">
        <v>260</v>
      </c>
      <c r="D44" s="2" t="s">
        <v>48</v>
      </c>
      <c r="E44" s="2" t="n">
        <v>5.91</v>
      </c>
      <c r="F44" s="2" t="s">
        <v>275</v>
      </c>
      <c r="G44" s="2" t="s">
        <v>257</v>
      </c>
      <c r="H44" s="2"/>
      <c r="I44" s="2" t="n">
        <v>5531</v>
      </c>
      <c r="J44" s="2" t="n">
        <v>90</v>
      </c>
      <c r="K44" s="2" t="s">
        <v>276</v>
      </c>
      <c r="L44" s="2" t="n">
        <v>5.653</v>
      </c>
      <c r="M44" s="2" t="n">
        <v>0.2425</v>
      </c>
      <c r="N44" s="4" t="s">
        <v>71</v>
      </c>
      <c r="O44" s="2" t="n">
        <f aca="false">L44</f>
        <v>5.653</v>
      </c>
      <c r="P44" s="2" t="n">
        <f aca="false">ROUNDUP(ROUND(E44,6)*10,0)/10</f>
        <v>6</v>
      </c>
      <c r="Q44" s="2" t="n">
        <f aca="false">MAX(0.1,ROUNDUP(ROUND(O44,6)*10,0)/10)</f>
        <v>5.7</v>
      </c>
      <c r="R44" s="2" t="str">
        <f aca="false">IF(P44&lt;&gt;Q44,"yes","no")</f>
        <v>yes</v>
      </c>
      <c r="S44" s="5" t="s">
        <v>327</v>
      </c>
    </row>
    <row r="45" customFormat="false" ht="15" hidden="false" customHeight="false" outlineLevel="0" collapsed="false">
      <c r="A45" s="2" t="n">
        <v>262</v>
      </c>
      <c r="B45" s="2" t="s">
        <v>328</v>
      </c>
      <c r="C45" s="2" t="s">
        <v>262</v>
      </c>
      <c r="D45" s="2" t="s">
        <v>39</v>
      </c>
      <c r="E45" s="2" t="n">
        <v>5.93</v>
      </c>
      <c r="F45" s="2" t="s">
        <v>275</v>
      </c>
      <c r="G45" s="2" t="s">
        <v>257</v>
      </c>
      <c r="H45" s="2"/>
      <c r="I45" s="2" t="n">
        <v>5547</v>
      </c>
      <c r="J45" s="2" t="n">
        <v>75</v>
      </c>
      <c r="K45" s="2" t="s">
        <v>276</v>
      </c>
      <c r="L45" s="2" t="n">
        <v>5.669</v>
      </c>
      <c r="M45" s="2" t="n">
        <v>0.2145</v>
      </c>
      <c r="N45" s="4" t="s">
        <v>71</v>
      </c>
      <c r="O45" s="2" t="n">
        <f aca="false">L45</f>
        <v>5.669</v>
      </c>
      <c r="P45" s="2" t="n">
        <f aca="false">ROUNDUP(ROUND(E45,6)*10,0)/10</f>
        <v>6</v>
      </c>
      <c r="Q45" s="2" t="n">
        <f aca="false">MAX(0.1,ROUNDUP(ROUND(O45,6)*10,0)/10)</f>
        <v>5.7</v>
      </c>
      <c r="R45" s="2" t="str">
        <f aca="false">IF(P45&lt;&gt;Q45,"yes","no")</f>
        <v>yes</v>
      </c>
      <c r="S45" s="5" t="s">
        <v>329</v>
      </c>
    </row>
    <row r="46" customFormat="false" ht="15" hidden="false" customHeight="false" outlineLevel="0" collapsed="false">
      <c r="A46" s="2" t="n">
        <v>273</v>
      </c>
      <c r="B46" s="2" t="s">
        <v>330</v>
      </c>
      <c r="C46" s="2" t="s">
        <v>291</v>
      </c>
      <c r="D46" s="2" t="s">
        <v>48</v>
      </c>
      <c r="E46" s="2" t="n">
        <v>6.06</v>
      </c>
      <c r="F46" s="2" t="s">
        <v>275</v>
      </c>
      <c r="G46" s="2" t="s">
        <v>257</v>
      </c>
      <c r="H46" s="2"/>
      <c r="I46" s="2" t="n">
        <v>5663</v>
      </c>
      <c r="J46" s="2" t="n">
        <v>75</v>
      </c>
      <c r="K46" s="2" t="s">
        <v>276</v>
      </c>
      <c r="L46" s="2" t="n">
        <v>5.788</v>
      </c>
      <c r="M46" s="2" t="n">
        <v>0.219</v>
      </c>
      <c r="N46" s="4" t="s">
        <v>71</v>
      </c>
      <c r="O46" s="2" t="n">
        <f aca="false">L46</f>
        <v>5.788</v>
      </c>
      <c r="P46" s="2" t="n">
        <f aca="false">ROUNDUP(ROUND(E46,6)*10,0)/10</f>
        <v>6.1</v>
      </c>
      <c r="Q46" s="2" t="n">
        <f aca="false">MAX(0.1,ROUNDUP(ROUND(O46,6)*10,0)/10)</f>
        <v>5.8</v>
      </c>
      <c r="R46" s="2" t="str">
        <f aca="false">IF(P46&lt;&gt;Q46,"yes","no")</f>
        <v>yes</v>
      </c>
      <c r="S46" s="5" t="s">
        <v>331</v>
      </c>
    </row>
    <row r="47" customFormat="false" ht="15" hidden="false" customHeight="false" outlineLevel="0" collapsed="false">
      <c r="A47" s="2" t="n">
        <v>257</v>
      </c>
      <c r="B47" s="2" t="s">
        <v>332</v>
      </c>
      <c r="C47" s="2" t="s">
        <v>262</v>
      </c>
      <c r="D47" s="2" t="s">
        <v>39</v>
      </c>
      <c r="E47" s="2" t="n">
        <v>6.08</v>
      </c>
      <c r="F47" s="2" t="s">
        <v>275</v>
      </c>
      <c r="G47" s="2" t="s">
        <v>257</v>
      </c>
      <c r="H47" s="2"/>
      <c r="I47" s="2" t="n">
        <v>5684</v>
      </c>
      <c r="J47" s="2" t="n">
        <v>100</v>
      </c>
      <c r="K47" s="2" t="s">
        <v>276</v>
      </c>
      <c r="L47" s="2" t="n">
        <v>5.811</v>
      </c>
      <c r="M47" s="2" t="n">
        <v>0.2665</v>
      </c>
      <c r="N47" s="4" t="s">
        <v>71</v>
      </c>
      <c r="O47" s="2" t="n">
        <f aca="false">L47</f>
        <v>5.811</v>
      </c>
      <c r="P47" s="2" t="n">
        <f aca="false">ROUNDUP(ROUND(E47,6)*10,0)/10</f>
        <v>6.1</v>
      </c>
      <c r="Q47" s="2" t="n">
        <f aca="false">MAX(0.1,ROUNDUP(ROUND(O47,6)*10,0)/10)</f>
        <v>5.9</v>
      </c>
      <c r="R47" s="2" t="str">
        <f aca="false">IF(P47&lt;&gt;Q47,"yes","no")</f>
        <v>yes</v>
      </c>
      <c r="S47" s="5" t="s">
        <v>333</v>
      </c>
    </row>
    <row r="48" customFormat="false" ht="15" hidden="false" customHeight="false" outlineLevel="0" collapsed="false">
      <c r="A48" s="2" t="n">
        <v>250</v>
      </c>
      <c r="B48" s="2" t="s">
        <v>334</v>
      </c>
      <c r="C48" s="2" t="s">
        <v>260</v>
      </c>
      <c r="D48" s="2" t="s">
        <v>48</v>
      </c>
      <c r="E48" s="2" t="n">
        <v>6.13</v>
      </c>
      <c r="F48" s="2" t="s">
        <v>275</v>
      </c>
      <c r="G48" s="2" t="s">
        <v>257</v>
      </c>
      <c r="H48" s="2"/>
      <c r="I48" s="2" t="n">
        <v>5732</v>
      </c>
      <c r="J48" s="2" t="n">
        <v>85</v>
      </c>
      <c r="K48" s="2" t="s">
        <v>276</v>
      </c>
      <c r="L48" s="2" t="n">
        <v>5.863</v>
      </c>
      <c r="M48" s="2" t="n">
        <v>0.252</v>
      </c>
      <c r="N48" s="4" t="s">
        <v>71</v>
      </c>
      <c r="O48" s="2" t="n">
        <f aca="false">L48</f>
        <v>5.863</v>
      </c>
      <c r="P48" s="2" t="n">
        <f aca="false">ROUNDUP(ROUND(E48,6)*10,0)/10</f>
        <v>6.2</v>
      </c>
      <c r="Q48" s="2" t="n">
        <f aca="false">MAX(0.1,ROUNDUP(ROUND(O48,6)*10,0)/10)</f>
        <v>5.9</v>
      </c>
      <c r="R48" s="2" t="str">
        <f aca="false">IF(P48&lt;&gt;Q48,"yes","no")</f>
        <v>yes</v>
      </c>
      <c r="S48" s="5" t="s">
        <v>335</v>
      </c>
    </row>
    <row r="49" customFormat="false" ht="15" hidden="false" customHeight="false" outlineLevel="0" collapsed="false">
      <c r="A49" s="2" t="n">
        <v>306</v>
      </c>
      <c r="B49" s="2" t="s">
        <v>336</v>
      </c>
      <c r="C49" s="2" t="s">
        <v>260</v>
      </c>
      <c r="D49" s="2" t="s">
        <v>48</v>
      </c>
      <c r="E49" s="2" t="n">
        <v>6.18</v>
      </c>
      <c r="F49" s="2" t="s">
        <v>256</v>
      </c>
      <c r="G49" s="2" t="s">
        <v>257</v>
      </c>
      <c r="H49" s="2" t="s">
        <v>279</v>
      </c>
      <c r="I49" s="2" t="n">
        <v>5760</v>
      </c>
      <c r="J49" s="2" t="n">
        <v>80</v>
      </c>
      <c r="K49" s="2" t="s">
        <v>258</v>
      </c>
      <c r="L49" s="2" t="n">
        <v>5.897</v>
      </c>
      <c r="M49" s="2" t="n">
        <v>0.246</v>
      </c>
      <c r="N49" s="4" t="s">
        <v>71</v>
      </c>
      <c r="O49" s="2" t="n">
        <f aca="false">L49</f>
        <v>5.897</v>
      </c>
      <c r="P49" s="2" t="n">
        <f aca="false">ROUNDUP(ROUND(E49,6)*10,0)/10</f>
        <v>6.2</v>
      </c>
      <c r="Q49" s="2" t="n">
        <f aca="false">MAX(0.1,ROUNDUP(ROUND(O49,6)*10,0)/10)</f>
        <v>5.9</v>
      </c>
      <c r="R49" s="2" t="str">
        <f aca="false">IF(P49&lt;&gt;Q49,"yes","no")</f>
        <v>yes</v>
      </c>
      <c r="S49" s="2"/>
    </row>
    <row r="50" customFormat="false" ht="15" hidden="false" customHeight="false" outlineLevel="0" collapsed="false">
      <c r="A50" s="2" t="n">
        <v>227</v>
      </c>
      <c r="B50" s="2" t="s">
        <v>337</v>
      </c>
      <c r="C50" s="2" t="s">
        <v>260</v>
      </c>
      <c r="D50" s="2" t="s">
        <v>48</v>
      </c>
      <c r="E50" s="2" t="n">
        <v>6.215</v>
      </c>
      <c r="F50" s="2" t="s">
        <v>275</v>
      </c>
      <c r="G50" s="2" t="s">
        <v>257</v>
      </c>
      <c r="H50" s="2"/>
      <c r="I50" s="2" t="n">
        <v>5805</v>
      </c>
      <c r="J50" s="2" t="n">
        <v>75</v>
      </c>
      <c r="K50" s="2" t="s">
        <v>276</v>
      </c>
      <c r="L50" s="2" t="n">
        <v>5.951</v>
      </c>
      <c r="M50" s="2" t="n">
        <v>0.2325</v>
      </c>
      <c r="N50" s="4" t="s">
        <v>71</v>
      </c>
      <c r="O50" s="2" t="n">
        <f aca="false">L50</f>
        <v>5.951</v>
      </c>
      <c r="P50" s="2" t="n">
        <f aca="false">ROUNDUP(ROUND(E50,6)*10,0)/10</f>
        <v>6.3</v>
      </c>
      <c r="Q50" s="2" t="n">
        <f aca="false">MAX(0.1,ROUNDUP(ROUND(O50,6)*10,0)/10)</f>
        <v>6</v>
      </c>
      <c r="R50" s="2" t="str">
        <f aca="false">IF(P50&lt;&gt;Q50,"yes","no")</f>
        <v>yes</v>
      </c>
      <c r="S50" s="5" t="s">
        <v>338</v>
      </c>
    </row>
    <row r="51" customFormat="false" ht="15" hidden="false" customHeight="false" outlineLevel="0" collapsed="false">
      <c r="A51" s="2" t="n">
        <v>252</v>
      </c>
      <c r="B51" s="2" t="s">
        <v>339</v>
      </c>
      <c r="C51" s="2" t="s">
        <v>260</v>
      </c>
      <c r="D51" s="2" t="s">
        <v>48</v>
      </c>
      <c r="E51" s="2" t="n">
        <v>6.25</v>
      </c>
      <c r="F51" s="2" t="s">
        <v>275</v>
      </c>
      <c r="G51" s="2" t="s">
        <v>257</v>
      </c>
      <c r="H51" s="2"/>
      <c r="I51" s="2" t="n">
        <v>5841</v>
      </c>
      <c r="J51" s="2" t="n">
        <v>90</v>
      </c>
      <c r="K51" s="2" t="s">
        <v>276</v>
      </c>
      <c r="L51" s="2" t="n">
        <v>5.991</v>
      </c>
      <c r="M51" s="2" t="n">
        <v>0.2515</v>
      </c>
      <c r="N51" s="4" t="s">
        <v>71</v>
      </c>
      <c r="O51" s="2" t="n">
        <f aca="false">L51</f>
        <v>5.991</v>
      </c>
      <c r="P51" s="2" t="n">
        <f aca="false">ROUNDUP(ROUND(E51,6)*10,0)/10</f>
        <v>6.3</v>
      </c>
      <c r="Q51" s="2" t="n">
        <f aca="false">MAX(0.1,ROUNDUP(ROUND(O51,6)*10,0)/10)</f>
        <v>6</v>
      </c>
      <c r="R51" s="2" t="str">
        <f aca="false">IF(P51&lt;&gt;Q51,"yes","no")</f>
        <v>yes</v>
      </c>
      <c r="S51" s="5" t="s">
        <v>340</v>
      </c>
    </row>
    <row r="52" customFormat="false" ht="15" hidden="false" customHeight="false" outlineLevel="0" collapsed="false">
      <c r="A52" s="2" t="n">
        <v>264</v>
      </c>
      <c r="B52" s="2" t="s">
        <v>341</v>
      </c>
      <c r="C52" s="2" t="s">
        <v>262</v>
      </c>
      <c r="D52" s="2" t="s">
        <v>39</v>
      </c>
      <c r="E52" s="2" t="n">
        <v>6.35</v>
      </c>
      <c r="F52" s="2" t="s">
        <v>275</v>
      </c>
      <c r="G52" s="2" t="s">
        <v>257</v>
      </c>
      <c r="H52" s="2"/>
      <c r="I52" s="2" t="n">
        <v>5937</v>
      </c>
      <c r="J52" s="2" t="n">
        <v>75</v>
      </c>
      <c r="K52" s="2" t="s">
        <v>276</v>
      </c>
      <c r="L52" s="2" t="n">
        <v>6.09</v>
      </c>
      <c r="M52" s="2" t="n">
        <v>0.207</v>
      </c>
      <c r="N52" s="4" t="s">
        <v>71</v>
      </c>
      <c r="O52" s="2" t="n">
        <f aca="false">L52</f>
        <v>6.09</v>
      </c>
      <c r="P52" s="2" t="n">
        <f aca="false">ROUNDUP(ROUND(E52,6)*10,0)/10</f>
        <v>6.4</v>
      </c>
      <c r="Q52" s="2" t="n">
        <f aca="false">MAX(0.1,ROUNDUP(ROUND(O52,6)*10,0)/10)</f>
        <v>6.1</v>
      </c>
      <c r="R52" s="2" t="str">
        <f aca="false">IF(P52&lt;&gt;Q52,"yes","no")</f>
        <v>yes</v>
      </c>
      <c r="S52" s="5" t="s">
        <v>342</v>
      </c>
    </row>
    <row r="53" customFormat="false" ht="15" hidden="false" customHeight="false" outlineLevel="0" collapsed="false">
      <c r="A53" s="2" t="n">
        <v>268</v>
      </c>
      <c r="B53" s="2" t="s">
        <v>343</v>
      </c>
      <c r="C53" s="2" t="s">
        <v>262</v>
      </c>
      <c r="D53" s="2" t="s">
        <v>39</v>
      </c>
      <c r="E53" s="2" t="n">
        <v>6.35</v>
      </c>
      <c r="F53" s="2" t="s">
        <v>275</v>
      </c>
      <c r="G53" s="2" t="s">
        <v>257</v>
      </c>
      <c r="H53" s="2"/>
      <c r="I53" s="2" t="n">
        <v>5937</v>
      </c>
      <c r="J53" s="2" t="n">
        <v>75</v>
      </c>
      <c r="K53" s="2" t="s">
        <v>276</v>
      </c>
      <c r="L53" s="2" t="n">
        <v>6.09</v>
      </c>
      <c r="M53" s="2" t="n">
        <v>0.207</v>
      </c>
      <c r="N53" s="4" t="s">
        <v>71</v>
      </c>
      <c r="O53" s="2" t="n">
        <f aca="false">L53</f>
        <v>6.09</v>
      </c>
      <c r="P53" s="2" t="n">
        <f aca="false">ROUNDUP(ROUND(E53,6)*10,0)/10</f>
        <v>6.4</v>
      </c>
      <c r="Q53" s="2" t="n">
        <f aca="false">MAX(0.1,ROUNDUP(ROUND(O53,6)*10,0)/10)</f>
        <v>6.1</v>
      </c>
      <c r="R53" s="2" t="str">
        <f aca="false">IF(P53&lt;&gt;Q53,"yes","no")</f>
        <v>yes</v>
      </c>
      <c r="S53" s="5" t="s">
        <v>342</v>
      </c>
    </row>
    <row r="54" customFormat="false" ht="15" hidden="false" customHeight="false" outlineLevel="0" collapsed="false">
      <c r="A54" s="2" t="n">
        <v>277</v>
      </c>
      <c r="B54" s="2" t="s">
        <v>344</v>
      </c>
      <c r="C54" s="2" t="s">
        <v>291</v>
      </c>
      <c r="D54" s="2" t="s">
        <v>48</v>
      </c>
      <c r="E54" s="2" t="n">
        <v>6.39</v>
      </c>
      <c r="F54" s="2" t="s">
        <v>275</v>
      </c>
      <c r="G54" s="2" t="s">
        <v>257</v>
      </c>
      <c r="H54" s="2"/>
      <c r="I54" s="2" t="n">
        <v>5986</v>
      </c>
      <c r="J54" s="2" t="n">
        <v>45</v>
      </c>
      <c r="K54" s="2" t="s">
        <v>276</v>
      </c>
      <c r="L54" s="2" t="n">
        <v>6.142</v>
      </c>
      <c r="M54" s="2" t="n">
        <v>0.177</v>
      </c>
      <c r="N54" s="4" t="s">
        <v>71</v>
      </c>
      <c r="O54" s="2" t="n">
        <f aca="false">L54</f>
        <v>6.142</v>
      </c>
      <c r="P54" s="2" t="n">
        <f aca="false">ROUNDUP(ROUND(E54,6)*10,0)/10</f>
        <v>6.4</v>
      </c>
      <c r="Q54" s="2" t="n">
        <f aca="false">MAX(0.1,ROUNDUP(ROUND(O54,6)*10,0)/10)</f>
        <v>6.2</v>
      </c>
      <c r="R54" s="2" t="str">
        <f aca="false">IF(P54&lt;&gt;Q54,"yes","no")</f>
        <v>yes</v>
      </c>
      <c r="S54" s="5" t="s">
        <v>345</v>
      </c>
    </row>
    <row r="55" customFormat="false" ht="15" hidden="false" customHeight="false" outlineLevel="0" collapsed="false">
      <c r="A55" s="2" t="n">
        <v>238</v>
      </c>
      <c r="B55" s="2" t="s">
        <v>346</v>
      </c>
      <c r="C55" s="2" t="s">
        <v>262</v>
      </c>
      <c r="D55" s="2" t="s">
        <v>39</v>
      </c>
      <c r="E55" s="2" t="n">
        <v>6.43</v>
      </c>
      <c r="F55" s="2" t="s">
        <v>275</v>
      </c>
      <c r="G55" s="2" t="s">
        <v>257</v>
      </c>
      <c r="H55" s="2"/>
      <c r="I55" s="2" t="n">
        <v>6014</v>
      </c>
      <c r="J55" s="2" t="n">
        <v>90</v>
      </c>
      <c r="K55" s="2" t="s">
        <v>276</v>
      </c>
      <c r="L55" s="2" t="n">
        <v>6.169</v>
      </c>
      <c r="M55" s="2" t="n">
        <v>0.239</v>
      </c>
      <c r="N55" s="4" t="s">
        <v>71</v>
      </c>
      <c r="O55" s="2" t="n">
        <f aca="false">L55</f>
        <v>6.169</v>
      </c>
      <c r="P55" s="2" t="n">
        <f aca="false">ROUNDUP(ROUND(E55,6)*10,0)/10</f>
        <v>6.5</v>
      </c>
      <c r="Q55" s="2" t="n">
        <f aca="false">MAX(0.1,ROUNDUP(ROUND(O55,6)*10,0)/10)</f>
        <v>6.2</v>
      </c>
      <c r="R55" s="2" t="str">
        <f aca="false">IF(P55&lt;&gt;Q55,"yes","no")</f>
        <v>yes</v>
      </c>
      <c r="S55" s="5" t="s">
        <v>347</v>
      </c>
    </row>
    <row r="56" customFormat="false" ht="15" hidden="false" customHeight="false" outlineLevel="0" collapsed="false">
      <c r="A56" s="2" t="n">
        <v>279</v>
      </c>
      <c r="B56" s="2" t="s">
        <v>348</v>
      </c>
      <c r="C56" s="2" t="s">
        <v>291</v>
      </c>
      <c r="D56" s="2" t="s">
        <v>48</v>
      </c>
      <c r="E56" s="2" t="n">
        <v>6.44</v>
      </c>
      <c r="F56" s="2" t="s">
        <v>275</v>
      </c>
      <c r="G56" s="2" t="s">
        <v>257</v>
      </c>
      <c r="H56" s="2"/>
      <c r="I56" s="2" t="n">
        <v>6024</v>
      </c>
      <c r="J56" s="2" t="n">
        <v>85</v>
      </c>
      <c r="K56" s="2" t="s">
        <v>276</v>
      </c>
      <c r="L56" s="2" t="n">
        <v>6.18</v>
      </c>
      <c r="M56" s="2" t="n">
        <v>0.2335</v>
      </c>
      <c r="N56" s="4" t="s">
        <v>71</v>
      </c>
      <c r="O56" s="2" t="n">
        <f aca="false">L56</f>
        <v>6.18</v>
      </c>
      <c r="P56" s="2" t="n">
        <f aca="false">ROUNDUP(ROUND(E56,6)*10,0)/10</f>
        <v>6.5</v>
      </c>
      <c r="Q56" s="2" t="n">
        <f aca="false">MAX(0.1,ROUNDUP(ROUND(O56,6)*10,0)/10)</f>
        <v>6.2</v>
      </c>
      <c r="R56" s="2" t="str">
        <f aca="false">IF(P56&lt;&gt;Q56,"yes","no")</f>
        <v>yes</v>
      </c>
      <c r="S56" s="5" t="s">
        <v>349</v>
      </c>
    </row>
    <row r="57" customFormat="false" ht="15" hidden="false" customHeight="false" outlineLevel="0" collapsed="false">
      <c r="A57" s="2" t="n">
        <v>228</v>
      </c>
      <c r="B57" s="2" t="s">
        <v>350</v>
      </c>
      <c r="C57" s="2" t="s">
        <v>260</v>
      </c>
      <c r="D57" s="2" t="s">
        <v>48</v>
      </c>
      <c r="E57" s="2" t="n">
        <v>6.46</v>
      </c>
      <c r="F57" s="2" t="s">
        <v>275</v>
      </c>
      <c r="G57" s="2" t="s">
        <v>257</v>
      </c>
      <c r="H57" s="2"/>
      <c r="I57" s="2" t="n">
        <v>6040</v>
      </c>
      <c r="J57" s="2" t="n">
        <v>100</v>
      </c>
      <c r="K57" s="2" t="s">
        <v>276</v>
      </c>
      <c r="L57" s="2" t="n">
        <v>6.197</v>
      </c>
      <c r="M57" s="2" t="n">
        <v>0.26</v>
      </c>
      <c r="N57" s="4" t="s">
        <v>71</v>
      </c>
      <c r="O57" s="2" t="n">
        <f aca="false">L57</f>
        <v>6.197</v>
      </c>
      <c r="P57" s="2" t="n">
        <f aca="false">ROUNDUP(ROUND(E57,6)*10,0)/10</f>
        <v>6.5</v>
      </c>
      <c r="Q57" s="2" t="n">
        <f aca="false">MAX(0.1,ROUNDUP(ROUND(O57,6)*10,0)/10)</f>
        <v>6.2</v>
      </c>
      <c r="R57" s="2" t="str">
        <f aca="false">IF(P57&lt;&gt;Q57,"yes","no")</f>
        <v>yes</v>
      </c>
      <c r="S57" s="5" t="s">
        <v>351</v>
      </c>
    </row>
    <row r="58" customFormat="false" ht="15" hidden="false" customHeight="false" outlineLevel="0" collapsed="false">
      <c r="A58" s="2" t="n">
        <v>278</v>
      </c>
      <c r="B58" s="2" t="s">
        <v>352</v>
      </c>
      <c r="C58" s="2" t="s">
        <v>291</v>
      </c>
      <c r="D58" s="2" t="s">
        <v>48</v>
      </c>
      <c r="E58" s="2" t="n">
        <v>6.476</v>
      </c>
      <c r="F58" s="2" t="s">
        <v>275</v>
      </c>
      <c r="G58" s="2" t="s">
        <v>257</v>
      </c>
      <c r="H58" s="2"/>
      <c r="I58" s="2" t="n">
        <v>6058</v>
      </c>
      <c r="J58" s="2" t="n">
        <v>70</v>
      </c>
      <c r="K58" s="2" t="s">
        <v>276</v>
      </c>
      <c r="L58" s="2" t="n">
        <v>6.218</v>
      </c>
      <c r="M58" s="2" t="n">
        <v>0.2155</v>
      </c>
      <c r="N58" s="4" t="s">
        <v>71</v>
      </c>
      <c r="O58" s="2" t="n">
        <f aca="false">L58</f>
        <v>6.218</v>
      </c>
      <c r="P58" s="2" t="n">
        <f aca="false">ROUNDUP(ROUND(E58,6)*10,0)/10</f>
        <v>6.5</v>
      </c>
      <c r="Q58" s="2" t="n">
        <f aca="false">MAX(0.1,ROUNDUP(ROUND(O58,6)*10,0)/10)</f>
        <v>6.3</v>
      </c>
      <c r="R58" s="2" t="str">
        <f aca="false">IF(P58&lt;&gt;Q58,"yes","no")</f>
        <v>yes</v>
      </c>
      <c r="S58" s="5" t="s">
        <v>353</v>
      </c>
    </row>
    <row r="59" customFormat="false" ht="15" hidden="false" customHeight="false" outlineLevel="0" collapsed="false">
      <c r="A59" s="2" t="n">
        <v>246</v>
      </c>
      <c r="B59" s="2" t="s">
        <v>354</v>
      </c>
      <c r="C59" s="2" t="s">
        <v>260</v>
      </c>
      <c r="D59" s="2" t="s">
        <v>48</v>
      </c>
      <c r="E59" s="2" t="n">
        <v>6.52</v>
      </c>
      <c r="F59" s="2" t="s">
        <v>275</v>
      </c>
      <c r="G59" s="2" t="s">
        <v>257</v>
      </c>
      <c r="H59" s="2"/>
      <c r="I59" s="2" t="n">
        <v>6097</v>
      </c>
      <c r="J59" s="2" t="n">
        <v>60</v>
      </c>
      <c r="K59" s="2" t="s">
        <v>276</v>
      </c>
      <c r="L59" s="2" t="n">
        <v>6.261</v>
      </c>
      <c r="M59" s="2" t="n">
        <v>0.2055</v>
      </c>
      <c r="N59" s="4" t="s">
        <v>71</v>
      </c>
      <c r="O59" s="2" t="n">
        <f aca="false">L59</f>
        <v>6.261</v>
      </c>
      <c r="P59" s="2" t="n">
        <f aca="false">ROUNDUP(ROUND(E59,6)*10,0)/10</f>
        <v>6.6</v>
      </c>
      <c r="Q59" s="2" t="n">
        <f aca="false">MAX(0.1,ROUNDUP(ROUND(O59,6)*10,0)/10)</f>
        <v>6.3</v>
      </c>
      <c r="R59" s="2" t="str">
        <f aca="false">IF(P59&lt;&gt;Q59,"yes","no")</f>
        <v>yes</v>
      </c>
      <c r="S59" s="5" t="s">
        <v>355</v>
      </c>
    </row>
    <row r="60" customFormat="false" ht="15" hidden="false" customHeight="false" outlineLevel="0" collapsed="false">
      <c r="A60" s="2" t="n">
        <v>253</v>
      </c>
      <c r="B60" s="2" t="s">
        <v>356</v>
      </c>
      <c r="C60" s="2" t="s">
        <v>260</v>
      </c>
      <c r="D60" s="2" t="s">
        <v>48</v>
      </c>
      <c r="E60" s="2" t="n">
        <v>6.59</v>
      </c>
      <c r="F60" s="2" t="s">
        <v>275</v>
      </c>
      <c r="G60" s="2" t="s">
        <v>257</v>
      </c>
      <c r="H60" s="2"/>
      <c r="I60" s="2" t="n">
        <v>6163</v>
      </c>
      <c r="J60" s="2" t="n">
        <v>75</v>
      </c>
      <c r="K60" s="2" t="s">
        <v>276</v>
      </c>
      <c r="L60" s="2" t="n">
        <v>6.332</v>
      </c>
      <c r="M60" s="2" t="n">
        <v>0.2235</v>
      </c>
      <c r="N60" s="4" t="s">
        <v>71</v>
      </c>
      <c r="O60" s="2" t="n">
        <f aca="false">L60</f>
        <v>6.332</v>
      </c>
      <c r="P60" s="2" t="n">
        <f aca="false">ROUNDUP(ROUND(E60,6)*10,0)/10</f>
        <v>6.6</v>
      </c>
      <c r="Q60" s="2" t="n">
        <f aca="false">MAX(0.1,ROUNDUP(ROUND(O60,6)*10,0)/10)</f>
        <v>6.4</v>
      </c>
      <c r="R60" s="2" t="str">
        <f aca="false">IF(P60&lt;&gt;Q60,"yes","no")</f>
        <v>yes</v>
      </c>
      <c r="S60" s="5" t="s">
        <v>357</v>
      </c>
    </row>
    <row r="61" customFormat="false" ht="15" hidden="false" customHeight="false" outlineLevel="0" collapsed="false">
      <c r="A61" s="2" t="n">
        <v>263</v>
      </c>
      <c r="B61" s="2" t="s">
        <v>358</v>
      </c>
      <c r="C61" s="2" t="s">
        <v>262</v>
      </c>
      <c r="D61" s="2" t="s">
        <v>39</v>
      </c>
      <c r="E61" s="2" t="n">
        <v>6.615</v>
      </c>
      <c r="F61" s="2" t="s">
        <v>275</v>
      </c>
      <c r="G61" s="2" t="s">
        <v>257</v>
      </c>
      <c r="H61" s="2"/>
      <c r="I61" s="2" t="n">
        <v>6185</v>
      </c>
      <c r="J61" s="2" t="n">
        <v>75</v>
      </c>
      <c r="K61" s="2" t="s">
        <v>276</v>
      </c>
      <c r="L61" s="2" t="n">
        <v>6.354</v>
      </c>
      <c r="M61" s="2" t="n">
        <v>0.2225</v>
      </c>
      <c r="N61" s="4" t="s">
        <v>71</v>
      </c>
      <c r="O61" s="2" t="n">
        <f aca="false">L61</f>
        <v>6.354</v>
      </c>
      <c r="P61" s="2" t="n">
        <f aca="false">ROUNDUP(ROUND(E61,6)*10,0)/10</f>
        <v>6.7</v>
      </c>
      <c r="Q61" s="2" t="n">
        <f aca="false">MAX(0.1,ROUNDUP(ROUND(O61,6)*10,0)/10)</f>
        <v>6.4</v>
      </c>
      <c r="R61" s="2" t="str">
        <f aca="false">IF(P61&lt;&gt;Q61,"yes","no")</f>
        <v>yes</v>
      </c>
      <c r="S61" s="5" t="s">
        <v>359</v>
      </c>
    </row>
    <row r="62" customFormat="false" ht="15" hidden="false" customHeight="false" outlineLevel="0" collapsed="false">
      <c r="A62" s="2" t="n">
        <v>229</v>
      </c>
      <c r="B62" s="2" t="s">
        <v>360</v>
      </c>
      <c r="C62" s="2" t="s">
        <v>262</v>
      </c>
      <c r="D62" s="2" t="s">
        <v>39</v>
      </c>
      <c r="E62" s="2" t="n">
        <v>6.625</v>
      </c>
      <c r="F62" s="2" t="s">
        <v>275</v>
      </c>
      <c r="G62" s="2" t="s">
        <v>257</v>
      </c>
      <c r="H62" s="2"/>
      <c r="I62" s="2" t="n">
        <v>6193</v>
      </c>
      <c r="J62" s="2" t="n">
        <v>80</v>
      </c>
      <c r="K62" s="2" t="s">
        <v>276</v>
      </c>
      <c r="L62" s="2" t="n">
        <v>6.363</v>
      </c>
      <c r="M62" s="2" t="n">
        <v>0.2295</v>
      </c>
      <c r="N62" s="4" t="s">
        <v>71</v>
      </c>
      <c r="O62" s="2" t="n">
        <f aca="false">L62</f>
        <v>6.363</v>
      </c>
      <c r="P62" s="2" t="n">
        <f aca="false">ROUNDUP(ROUND(E62,6)*10,0)/10</f>
        <v>6.7</v>
      </c>
      <c r="Q62" s="2" t="n">
        <f aca="false">MAX(0.1,ROUNDUP(ROUND(O62,6)*10,0)/10)</f>
        <v>6.4</v>
      </c>
      <c r="R62" s="2" t="str">
        <f aca="false">IF(P62&lt;&gt;Q62,"yes","no")</f>
        <v>yes</v>
      </c>
      <c r="S62" s="5" t="s">
        <v>361</v>
      </c>
    </row>
    <row r="63" customFormat="false" ht="15" hidden="false" customHeight="false" outlineLevel="0" collapsed="false">
      <c r="A63" s="2" t="n">
        <v>258</v>
      </c>
      <c r="B63" s="2" t="s">
        <v>362</v>
      </c>
      <c r="C63" s="2" t="s">
        <v>260</v>
      </c>
      <c r="D63" s="2" t="s">
        <v>48</v>
      </c>
      <c r="E63" s="2" t="n">
        <v>6.635</v>
      </c>
      <c r="F63" s="2" t="s">
        <v>275</v>
      </c>
      <c r="G63" s="2" t="s">
        <v>257</v>
      </c>
      <c r="H63" s="2"/>
      <c r="I63" s="2" t="n">
        <v>6202</v>
      </c>
      <c r="J63" s="2" t="n">
        <v>80</v>
      </c>
      <c r="K63" s="2" t="s">
        <v>276</v>
      </c>
      <c r="L63" s="2" t="n">
        <v>6.372</v>
      </c>
      <c r="M63" s="2" t="n">
        <v>0.227</v>
      </c>
      <c r="N63" s="4" t="s">
        <v>71</v>
      </c>
      <c r="O63" s="2" t="n">
        <f aca="false">L63</f>
        <v>6.372</v>
      </c>
      <c r="P63" s="2" t="n">
        <f aca="false">ROUNDUP(ROUND(E63,6)*10,0)/10</f>
        <v>6.7</v>
      </c>
      <c r="Q63" s="2" t="n">
        <f aca="false">MAX(0.1,ROUNDUP(ROUND(O63,6)*10,0)/10)</f>
        <v>6.4</v>
      </c>
      <c r="R63" s="2" t="str">
        <f aca="false">IF(P63&lt;&gt;Q63,"yes","no")</f>
        <v>yes</v>
      </c>
      <c r="S63" s="5" t="s">
        <v>363</v>
      </c>
    </row>
    <row r="64" customFormat="false" ht="15" hidden="false" customHeight="false" outlineLevel="0" collapsed="false">
      <c r="A64" s="2" t="n">
        <v>274</v>
      </c>
      <c r="B64" s="2" t="s">
        <v>364</v>
      </c>
      <c r="C64" s="2" t="s">
        <v>291</v>
      </c>
      <c r="D64" s="2" t="s">
        <v>48</v>
      </c>
      <c r="E64" s="2" t="n">
        <v>6.635</v>
      </c>
      <c r="F64" s="2" t="s">
        <v>275</v>
      </c>
      <c r="G64" s="2" t="s">
        <v>257</v>
      </c>
      <c r="H64" s="2"/>
      <c r="I64" s="2" t="n">
        <v>6201</v>
      </c>
      <c r="J64" s="2" t="n">
        <v>110</v>
      </c>
      <c r="K64" s="2" t="s">
        <v>276</v>
      </c>
      <c r="L64" s="2" t="n">
        <v>6.373</v>
      </c>
      <c r="M64" s="2" t="n">
        <v>0.2825</v>
      </c>
      <c r="N64" s="4" t="s">
        <v>71</v>
      </c>
      <c r="O64" s="2" t="n">
        <f aca="false">L64</f>
        <v>6.373</v>
      </c>
      <c r="P64" s="2" t="n">
        <f aca="false">ROUNDUP(ROUND(E64,6)*10,0)/10</f>
        <v>6.7</v>
      </c>
      <c r="Q64" s="2" t="n">
        <f aca="false">MAX(0.1,ROUNDUP(ROUND(O64,6)*10,0)/10)</f>
        <v>6.4</v>
      </c>
      <c r="R64" s="2" t="str">
        <f aca="false">IF(P64&lt;&gt;Q64,"yes","no")</f>
        <v>yes</v>
      </c>
      <c r="S64" s="5" t="s">
        <v>365</v>
      </c>
    </row>
    <row r="65" customFormat="false" ht="15" hidden="false" customHeight="false" outlineLevel="0" collapsed="false">
      <c r="A65" s="2" t="n">
        <v>265</v>
      </c>
      <c r="B65" s="2" t="s">
        <v>366</v>
      </c>
      <c r="C65" s="2" t="s">
        <v>262</v>
      </c>
      <c r="D65" s="2" t="s">
        <v>39</v>
      </c>
      <c r="E65" s="2" t="n">
        <v>6.675</v>
      </c>
      <c r="F65" s="2" t="s">
        <v>275</v>
      </c>
      <c r="G65" s="2" t="s">
        <v>257</v>
      </c>
      <c r="H65" s="2"/>
      <c r="I65" s="2" t="n">
        <v>6235</v>
      </c>
      <c r="J65" s="2" t="n">
        <v>75</v>
      </c>
      <c r="K65" s="2" t="s">
        <v>276</v>
      </c>
      <c r="L65" s="2" t="n">
        <v>6.406</v>
      </c>
      <c r="M65" s="2" t="n">
        <v>0.2155</v>
      </c>
      <c r="N65" s="4" t="s">
        <v>71</v>
      </c>
      <c r="O65" s="2" t="n">
        <f aca="false">L65</f>
        <v>6.406</v>
      </c>
      <c r="P65" s="2" t="n">
        <f aca="false">ROUNDUP(ROUND(E65,6)*10,0)/10</f>
        <v>6.7</v>
      </c>
      <c r="Q65" s="2" t="n">
        <f aca="false">MAX(0.1,ROUNDUP(ROUND(O65,6)*10,0)/10)</f>
        <v>6.5</v>
      </c>
      <c r="R65" s="2" t="str">
        <f aca="false">IF(P65&lt;&gt;Q65,"yes","no")</f>
        <v>yes</v>
      </c>
      <c r="S65" s="5" t="s">
        <v>367</v>
      </c>
    </row>
    <row r="66" customFormat="false" ht="15" hidden="false" customHeight="false" outlineLevel="0" collapsed="false">
      <c r="A66" s="2" t="n">
        <v>254</v>
      </c>
      <c r="B66" s="2" t="s">
        <v>368</v>
      </c>
      <c r="C66" s="2" t="s">
        <v>262</v>
      </c>
      <c r="D66" s="2" t="s">
        <v>39</v>
      </c>
      <c r="E66" s="2" t="n">
        <v>6.74</v>
      </c>
      <c r="F66" s="2" t="s">
        <v>275</v>
      </c>
      <c r="G66" s="2" t="s">
        <v>257</v>
      </c>
      <c r="H66" s="2"/>
      <c r="I66" s="2" t="n">
        <v>6291</v>
      </c>
      <c r="J66" s="2" t="n">
        <v>75</v>
      </c>
      <c r="K66" s="2" t="s">
        <v>276</v>
      </c>
      <c r="L66" s="2" t="n">
        <v>6.465</v>
      </c>
      <c r="M66" s="2" t="n">
        <v>0.2165</v>
      </c>
      <c r="N66" s="4" t="s">
        <v>71</v>
      </c>
      <c r="O66" s="2" t="n">
        <f aca="false">L66</f>
        <v>6.465</v>
      </c>
      <c r="P66" s="2" t="n">
        <f aca="false">ROUNDUP(ROUND(E66,6)*10,0)/10</f>
        <v>6.8</v>
      </c>
      <c r="Q66" s="2" t="n">
        <f aca="false">MAX(0.1,ROUNDUP(ROUND(O66,6)*10,0)/10)</f>
        <v>6.5</v>
      </c>
      <c r="R66" s="2" t="str">
        <f aca="false">IF(P66&lt;&gt;Q66,"yes","no")</f>
        <v>yes</v>
      </c>
      <c r="S66" s="5" t="s">
        <v>369</v>
      </c>
    </row>
    <row r="67" customFormat="false" ht="15" hidden="false" customHeight="false" outlineLevel="0" collapsed="false">
      <c r="A67" s="2" t="n">
        <v>291</v>
      </c>
      <c r="B67" s="2" t="s">
        <v>370</v>
      </c>
      <c r="C67" s="2" t="s">
        <v>260</v>
      </c>
      <c r="D67" s="2" t="s">
        <v>48</v>
      </c>
      <c r="E67" s="2" t="n">
        <v>6.775</v>
      </c>
      <c r="F67" s="2" t="s">
        <v>256</v>
      </c>
      <c r="G67" s="2" t="s">
        <v>257</v>
      </c>
      <c r="H67" s="2"/>
      <c r="I67" s="2" t="n">
        <v>6330</v>
      </c>
      <c r="J67" s="2" t="n">
        <v>80</v>
      </c>
      <c r="K67" s="2" t="s">
        <v>258</v>
      </c>
      <c r="L67" s="2" t="n">
        <v>6.507</v>
      </c>
      <c r="M67" s="2" t="n">
        <v>0.2275</v>
      </c>
      <c r="N67" s="4" t="s">
        <v>71</v>
      </c>
      <c r="O67" s="2" t="n">
        <f aca="false">L67</f>
        <v>6.507</v>
      </c>
      <c r="P67" s="2" t="n">
        <f aca="false">ROUNDUP(ROUND(E67,6)*10,0)/10</f>
        <v>6.8</v>
      </c>
      <c r="Q67" s="2" t="n">
        <f aca="false">MAX(0.1,ROUNDUP(ROUND(O67,6)*10,0)/10)</f>
        <v>6.6</v>
      </c>
      <c r="R67" s="2" t="str">
        <f aca="false">IF(P67&lt;&gt;Q67,"yes","no")</f>
        <v>yes</v>
      </c>
      <c r="S67" s="2"/>
    </row>
    <row r="68" customFormat="false" ht="15" hidden="false" customHeight="false" outlineLevel="0" collapsed="false">
      <c r="A68" s="2" t="n">
        <v>230</v>
      </c>
      <c r="B68" s="2" t="s">
        <v>371</v>
      </c>
      <c r="C68" s="2" t="s">
        <v>262</v>
      </c>
      <c r="D68" s="2" t="s">
        <v>39</v>
      </c>
      <c r="E68" s="2" t="n">
        <v>7.05</v>
      </c>
      <c r="F68" s="2" t="s">
        <v>275</v>
      </c>
      <c r="G68" s="2" t="s">
        <v>257</v>
      </c>
      <c r="H68" s="2"/>
      <c r="I68" s="2" t="n">
        <v>6541</v>
      </c>
      <c r="J68" s="2" t="n">
        <v>70</v>
      </c>
      <c r="K68" s="2" t="s">
        <v>276</v>
      </c>
      <c r="L68" s="2" t="n">
        <v>6.745</v>
      </c>
      <c r="M68" s="2" t="n">
        <v>0.232</v>
      </c>
      <c r="N68" s="4" t="s">
        <v>71</v>
      </c>
      <c r="O68" s="2" t="n">
        <f aca="false">L68</f>
        <v>6.745</v>
      </c>
      <c r="P68" s="2" t="n">
        <f aca="false">ROUNDUP(ROUND(E68,6)*10,0)/10</f>
        <v>7.1</v>
      </c>
      <c r="Q68" s="2" t="n">
        <f aca="false">MAX(0.1,ROUNDUP(ROUND(O68,6)*10,0)/10)</f>
        <v>6.8</v>
      </c>
      <c r="R68" s="2" t="str">
        <f aca="false">IF(P68&lt;&gt;Q68,"yes","no")</f>
        <v>yes</v>
      </c>
      <c r="S68" s="5" t="s">
        <v>372</v>
      </c>
    </row>
    <row r="69" customFormat="false" ht="15" hidden="false" customHeight="false" outlineLevel="0" collapsed="false">
      <c r="A69" s="2" t="n">
        <v>269</v>
      </c>
      <c r="B69" s="2" t="s">
        <v>373</v>
      </c>
      <c r="C69" s="2" t="s">
        <v>260</v>
      </c>
      <c r="D69" s="2" t="s">
        <v>48</v>
      </c>
      <c r="E69" s="2" t="n">
        <v>7.07</v>
      </c>
      <c r="F69" s="2" t="s">
        <v>275</v>
      </c>
      <c r="G69" s="2" t="s">
        <v>257</v>
      </c>
      <c r="H69" s="2"/>
      <c r="I69" s="2" t="n">
        <v>6563</v>
      </c>
      <c r="J69" s="2" t="n">
        <v>85</v>
      </c>
      <c r="K69" s="2" t="s">
        <v>276</v>
      </c>
      <c r="L69" s="2" t="n">
        <v>6.771</v>
      </c>
      <c r="M69" s="2" t="n">
        <v>0.26</v>
      </c>
      <c r="N69" s="4" t="s">
        <v>71</v>
      </c>
      <c r="O69" s="2" t="n">
        <f aca="false">L69</f>
        <v>6.771</v>
      </c>
      <c r="P69" s="2" t="n">
        <f aca="false">ROUNDUP(ROUND(E69,6)*10,0)/10</f>
        <v>7.1</v>
      </c>
      <c r="Q69" s="2" t="n">
        <f aca="false">MAX(0.1,ROUNDUP(ROUND(O69,6)*10,0)/10)</f>
        <v>6.8</v>
      </c>
      <c r="R69" s="2" t="str">
        <f aca="false">IF(P69&lt;&gt;Q69,"yes","no")</f>
        <v>yes</v>
      </c>
      <c r="S69" s="5" t="s">
        <v>374</v>
      </c>
    </row>
    <row r="70" customFormat="false" ht="15" hidden="false" customHeight="false" outlineLevel="0" collapsed="false">
      <c r="A70" s="2" t="n">
        <v>266</v>
      </c>
      <c r="B70" s="2" t="s">
        <v>375</v>
      </c>
      <c r="C70" s="2" t="s">
        <v>262</v>
      </c>
      <c r="D70" s="2" t="s">
        <v>39</v>
      </c>
      <c r="E70" s="2" t="n">
        <v>7.07</v>
      </c>
      <c r="F70" s="2" t="s">
        <v>275</v>
      </c>
      <c r="G70" s="2" t="s">
        <v>257</v>
      </c>
      <c r="H70" s="2"/>
      <c r="I70" s="2" t="n">
        <v>6560</v>
      </c>
      <c r="J70" s="2" t="n">
        <v>75</v>
      </c>
      <c r="K70" s="2" t="s">
        <v>276</v>
      </c>
      <c r="L70" s="2" t="n">
        <v>6.767</v>
      </c>
      <c r="M70" s="2" t="n">
        <v>0.241</v>
      </c>
      <c r="N70" s="4" t="s">
        <v>71</v>
      </c>
      <c r="O70" s="2" t="n">
        <f aca="false">L70</f>
        <v>6.767</v>
      </c>
      <c r="P70" s="2" t="n">
        <f aca="false">ROUNDUP(ROUND(E70,6)*10,0)/10</f>
        <v>7.1</v>
      </c>
      <c r="Q70" s="2" t="n">
        <f aca="false">MAX(0.1,ROUNDUP(ROUND(O70,6)*10,0)/10)</f>
        <v>6.8</v>
      </c>
      <c r="R70" s="2" t="str">
        <f aca="false">IF(P70&lt;&gt;Q70,"yes","no")</f>
        <v>yes</v>
      </c>
      <c r="S70" s="5" t="s">
        <v>376</v>
      </c>
    </row>
    <row r="71" customFormat="false" ht="15" hidden="false" customHeight="false" outlineLevel="0" collapsed="false">
      <c r="A71" s="2" t="n">
        <v>270</v>
      </c>
      <c r="B71" s="2" t="s">
        <v>377</v>
      </c>
      <c r="C71" s="2" t="s">
        <v>260</v>
      </c>
      <c r="D71" s="2" t="s">
        <v>48</v>
      </c>
      <c r="E71" s="2" t="n">
        <v>7.145</v>
      </c>
      <c r="F71" s="2" t="s">
        <v>275</v>
      </c>
      <c r="G71" s="2" t="s">
        <v>257</v>
      </c>
      <c r="H71" s="2"/>
      <c r="I71" s="2" t="n">
        <v>6619</v>
      </c>
      <c r="J71" s="2" t="n">
        <v>50</v>
      </c>
      <c r="K71" s="2" t="s">
        <v>276</v>
      </c>
      <c r="L71" s="2" t="n">
        <v>6.833</v>
      </c>
      <c r="M71" s="2" t="n">
        <v>0.2055</v>
      </c>
      <c r="N71" s="4" t="s">
        <v>71</v>
      </c>
      <c r="O71" s="2" t="n">
        <f aca="false">L71</f>
        <v>6.833</v>
      </c>
      <c r="P71" s="2" t="n">
        <f aca="false">ROUNDUP(ROUND(E71,6)*10,0)/10</f>
        <v>7.2</v>
      </c>
      <c r="Q71" s="2" t="n">
        <f aca="false">MAX(0.1,ROUNDUP(ROUND(O71,6)*10,0)/10)</f>
        <v>6.9</v>
      </c>
      <c r="R71" s="2" t="str">
        <f aca="false">IF(P71&lt;&gt;Q71,"yes","no")</f>
        <v>yes</v>
      </c>
      <c r="S71" s="5" t="s">
        <v>378</v>
      </c>
    </row>
    <row r="72" customFormat="false" ht="15" hidden="false" customHeight="false" outlineLevel="0" collapsed="false">
      <c r="A72" s="2" t="n">
        <v>307</v>
      </c>
      <c r="B72" s="2" t="s">
        <v>379</v>
      </c>
      <c r="C72" s="2" t="s">
        <v>260</v>
      </c>
      <c r="D72" s="2" t="s">
        <v>48</v>
      </c>
      <c r="E72" s="2" t="n">
        <v>7.175</v>
      </c>
      <c r="F72" s="2" t="s">
        <v>256</v>
      </c>
      <c r="G72" s="2" t="s">
        <v>257</v>
      </c>
      <c r="H72" s="2"/>
      <c r="I72" s="2" t="n">
        <v>6680</v>
      </c>
      <c r="J72" s="2" t="n">
        <v>90</v>
      </c>
      <c r="K72" s="2" t="s">
        <v>258</v>
      </c>
      <c r="L72" s="2" t="n">
        <v>6.905</v>
      </c>
      <c r="M72" s="2" t="n">
        <v>0.2555</v>
      </c>
      <c r="N72" s="4" t="s">
        <v>71</v>
      </c>
      <c r="O72" s="2" t="n">
        <f aca="false">L72</f>
        <v>6.905</v>
      </c>
      <c r="P72" s="2" t="n">
        <f aca="false">ROUNDUP(ROUND(E72,6)*10,0)/10</f>
        <v>7.2</v>
      </c>
      <c r="Q72" s="2" t="n">
        <f aca="false">MAX(0.1,ROUNDUP(ROUND(O72,6)*10,0)/10)</f>
        <v>7</v>
      </c>
      <c r="R72" s="2" t="str">
        <f aca="false">IF(P72&lt;&gt;Q72,"yes","no")</f>
        <v>yes</v>
      </c>
      <c r="S72" s="2"/>
    </row>
    <row r="73" customFormat="false" ht="15" hidden="false" customHeight="false" outlineLevel="0" collapsed="false">
      <c r="A73" s="2" t="n">
        <v>236</v>
      </c>
      <c r="B73" s="2" t="s">
        <v>380</v>
      </c>
      <c r="C73" s="2" t="s">
        <v>262</v>
      </c>
      <c r="D73" s="2" t="s">
        <v>39</v>
      </c>
      <c r="E73" s="2" t="n">
        <v>7.18</v>
      </c>
      <c r="F73" s="2" t="s">
        <v>275</v>
      </c>
      <c r="G73" s="2" t="s">
        <v>257</v>
      </c>
      <c r="H73" s="2"/>
      <c r="I73" s="2" t="n">
        <v>6657</v>
      </c>
      <c r="J73" s="2" t="n">
        <v>70</v>
      </c>
      <c r="K73" s="2" t="s">
        <v>276</v>
      </c>
      <c r="L73" s="2" t="n">
        <v>6.878</v>
      </c>
      <c r="M73" s="2" t="n">
        <v>0.233</v>
      </c>
      <c r="N73" s="4" t="s">
        <v>71</v>
      </c>
      <c r="O73" s="2" t="n">
        <f aca="false">L73</f>
        <v>6.878</v>
      </c>
      <c r="P73" s="2" t="n">
        <f aca="false">ROUNDUP(ROUND(E73,6)*10,0)/10</f>
        <v>7.2</v>
      </c>
      <c r="Q73" s="2" t="n">
        <f aca="false">MAX(0.1,ROUNDUP(ROUND(O73,6)*10,0)/10)</f>
        <v>6.9</v>
      </c>
      <c r="R73" s="2" t="str">
        <f aca="false">IF(P73&lt;&gt;Q73,"yes","no")</f>
        <v>yes</v>
      </c>
      <c r="S73" s="5" t="s">
        <v>381</v>
      </c>
    </row>
    <row r="74" customFormat="false" ht="15" hidden="false" customHeight="false" outlineLevel="0" collapsed="false">
      <c r="A74" s="2" t="n">
        <v>232</v>
      </c>
      <c r="B74" s="2" t="s">
        <v>382</v>
      </c>
      <c r="C74" s="2" t="s">
        <v>262</v>
      </c>
      <c r="D74" s="2" t="s">
        <v>39</v>
      </c>
      <c r="E74" s="2" t="n">
        <v>7.255</v>
      </c>
      <c r="F74" s="2" t="s">
        <v>275</v>
      </c>
      <c r="G74" s="2" t="s">
        <v>257</v>
      </c>
      <c r="H74" s="2"/>
      <c r="I74" s="2" t="n">
        <v>6726</v>
      </c>
      <c r="J74" s="2" t="n">
        <v>55</v>
      </c>
      <c r="K74" s="2" t="s">
        <v>276</v>
      </c>
      <c r="L74" s="2" t="n">
        <v>6.959</v>
      </c>
      <c r="M74" s="2" t="n">
        <v>0.2055</v>
      </c>
      <c r="N74" s="4" t="s">
        <v>71</v>
      </c>
      <c r="O74" s="2" t="n">
        <f aca="false">L74</f>
        <v>6.959</v>
      </c>
      <c r="P74" s="2" t="n">
        <f aca="false">ROUNDUP(ROUND(E74,6)*10,0)/10</f>
        <v>7.3</v>
      </c>
      <c r="Q74" s="2" t="n">
        <f aca="false">MAX(0.1,ROUNDUP(ROUND(O74,6)*10,0)/10)</f>
        <v>7</v>
      </c>
      <c r="R74" s="2" t="str">
        <f aca="false">IF(P74&lt;&gt;Q74,"yes","no")</f>
        <v>yes</v>
      </c>
      <c r="S74" s="5" t="s">
        <v>383</v>
      </c>
    </row>
    <row r="75" customFormat="false" ht="15" hidden="false" customHeight="false" outlineLevel="0" collapsed="false">
      <c r="A75" s="2" t="n">
        <v>247</v>
      </c>
      <c r="B75" s="2" t="s">
        <v>384</v>
      </c>
      <c r="C75" s="2" t="s">
        <v>260</v>
      </c>
      <c r="D75" s="2" t="s">
        <v>48</v>
      </c>
      <c r="E75" s="2" t="n">
        <v>7.275</v>
      </c>
      <c r="F75" s="2" t="s">
        <v>275</v>
      </c>
      <c r="G75" s="2" t="s">
        <v>257</v>
      </c>
      <c r="H75" s="2"/>
      <c r="I75" s="2" t="n">
        <v>6748</v>
      </c>
      <c r="J75" s="2" t="n">
        <v>40</v>
      </c>
      <c r="K75" s="2" t="s">
        <v>276</v>
      </c>
      <c r="L75" s="2" t="n">
        <v>6.985</v>
      </c>
      <c r="M75" s="2" t="n">
        <v>0.188</v>
      </c>
      <c r="N75" s="4" t="s">
        <v>71</v>
      </c>
      <c r="O75" s="2" t="n">
        <f aca="false">L75</f>
        <v>6.985</v>
      </c>
      <c r="P75" s="2" t="n">
        <f aca="false">ROUNDUP(ROUND(E75,6)*10,0)/10</f>
        <v>7.3</v>
      </c>
      <c r="Q75" s="2" t="n">
        <f aca="false">MAX(0.1,ROUNDUP(ROUND(O75,6)*10,0)/10)</f>
        <v>7</v>
      </c>
      <c r="R75" s="2" t="str">
        <f aca="false">IF(P75&lt;&gt;Q75,"yes","no")</f>
        <v>yes</v>
      </c>
      <c r="S75" s="5" t="s">
        <v>385</v>
      </c>
    </row>
    <row r="76" customFormat="false" ht="15" hidden="false" customHeight="false" outlineLevel="0" collapsed="false">
      <c r="A76" s="2" t="n">
        <v>267</v>
      </c>
      <c r="B76" s="2" t="s">
        <v>386</v>
      </c>
      <c r="C76" s="2" t="s">
        <v>262</v>
      </c>
      <c r="D76" s="2" t="s">
        <v>39</v>
      </c>
      <c r="E76" s="2" t="n">
        <v>7.31</v>
      </c>
      <c r="F76" s="2" t="s">
        <v>275</v>
      </c>
      <c r="G76" s="2" t="s">
        <v>257</v>
      </c>
      <c r="H76" s="2"/>
      <c r="I76" s="2" t="n">
        <v>6786</v>
      </c>
      <c r="J76" s="2" t="n">
        <v>75</v>
      </c>
      <c r="K76" s="2" t="s">
        <v>276</v>
      </c>
      <c r="L76" s="2" t="n">
        <v>7.025</v>
      </c>
      <c r="M76" s="2" t="n">
        <v>0.228</v>
      </c>
      <c r="N76" s="4" t="s">
        <v>71</v>
      </c>
      <c r="O76" s="2" t="n">
        <f aca="false">L76</f>
        <v>7.025</v>
      </c>
      <c r="P76" s="2" t="n">
        <f aca="false">ROUNDUP(ROUND(E76,6)*10,0)/10</f>
        <v>7.4</v>
      </c>
      <c r="Q76" s="2" t="n">
        <f aca="false">MAX(0.1,ROUNDUP(ROUND(O76,6)*10,0)/10)</f>
        <v>7.1</v>
      </c>
      <c r="R76" s="2" t="str">
        <f aca="false">IF(P76&lt;&gt;Q76,"yes","no")</f>
        <v>yes</v>
      </c>
      <c r="S76" s="5" t="s">
        <v>387</v>
      </c>
    </row>
    <row r="77" customFormat="false" ht="15" hidden="false" customHeight="false" outlineLevel="0" collapsed="false">
      <c r="A77" s="2" t="n">
        <v>240</v>
      </c>
      <c r="B77" s="2" t="s">
        <v>388</v>
      </c>
      <c r="C77" s="2" t="s">
        <v>260</v>
      </c>
      <c r="D77" s="2" t="s">
        <v>48</v>
      </c>
      <c r="E77" s="2" t="n">
        <v>7.335</v>
      </c>
      <c r="F77" s="2" t="s">
        <v>275</v>
      </c>
      <c r="G77" s="2" t="s">
        <v>257</v>
      </c>
      <c r="H77" s="2"/>
      <c r="I77" s="2" t="n">
        <v>6817</v>
      </c>
      <c r="J77" s="2" t="n">
        <v>80</v>
      </c>
      <c r="K77" s="2" t="s">
        <v>276</v>
      </c>
      <c r="L77" s="2" t="n">
        <v>7.057</v>
      </c>
      <c r="M77" s="2" t="n">
        <v>0.233</v>
      </c>
      <c r="N77" s="4" t="s">
        <v>71</v>
      </c>
      <c r="O77" s="2" t="n">
        <f aca="false">L77</f>
        <v>7.057</v>
      </c>
      <c r="P77" s="2" t="n">
        <f aca="false">ROUNDUP(ROUND(E77,6)*10,0)/10</f>
        <v>7.4</v>
      </c>
      <c r="Q77" s="2" t="n">
        <f aca="false">MAX(0.1,ROUNDUP(ROUND(O77,6)*10,0)/10)</f>
        <v>7.1</v>
      </c>
      <c r="R77" s="2" t="str">
        <f aca="false">IF(P77&lt;&gt;Q77,"yes","no")</f>
        <v>yes</v>
      </c>
      <c r="S77" s="5" t="s">
        <v>389</v>
      </c>
    </row>
    <row r="78" customFormat="false" ht="15" hidden="false" customHeight="false" outlineLevel="0" collapsed="false">
      <c r="A78" s="2" t="n">
        <v>239</v>
      </c>
      <c r="B78" s="2" t="s">
        <v>390</v>
      </c>
      <c r="C78" s="2" t="s">
        <v>262</v>
      </c>
      <c r="D78" s="2" t="s">
        <v>39</v>
      </c>
      <c r="E78" s="2" t="n">
        <v>7.375</v>
      </c>
      <c r="F78" s="2" t="s">
        <v>275</v>
      </c>
      <c r="G78" s="2" t="s">
        <v>257</v>
      </c>
      <c r="H78" s="2"/>
      <c r="I78" s="2" t="n">
        <v>6867</v>
      </c>
      <c r="J78" s="2" t="n">
        <v>95</v>
      </c>
      <c r="K78" s="2" t="s">
        <v>276</v>
      </c>
      <c r="L78" s="2" t="n">
        <v>7.108</v>
      </c>
      <c r="M78" s="2" t="n">
        <v>0.2545</v>
      </c>
      <c r="N78" s="4" t="s">
        <v>71</v>
      </c>
      <c r="O78" s="2" t="n">
        <f aca="false">L78</f>
        <v>7.108</v>
      </c>
      <c r="P78" s="2" t="n">
        <f aca="false">ROUNDUP(ROUND(E78,6)*10,0)/10</f>
        <v>7.4</v>
      </c>
      <c r="Q78" s="2" t="n">
        <f aca="false">MAX(0.1,ROUNDUP(ROUND(O78,6)*10,0)/10)</f>
        <v>7.2</v>
      </c>
      <c r="R78" s="2" t="str">
        <f aca="false">IF(P78&lt;&gt;Q78,"yes","no")</f>
        <v>yes</v>
      </c>
      <c r="S78" s="5" t="s">
        <v>391</v>
      </c>
    </row>
    <row r="79" customFormat="false" ht="15" hidden="false" customHeight="false" outlineLevel="0" collapsed="false">
      <c r="A79" s="2" t="n">
        <v>231</v>
      </c>
      <c r="B79" s="2" t="s">
        <v>392</v>
      </c>
      <c r="C79" s="2" t="s">
        <v>262</v>
      </c>
      <c r="D79" s="2" t="s">
        <v>39</v>
      </c>
      <c r="E79" s="2" t="n">
        <v>7.427</v>
      </c>
      <c r="F79" s="2" t="s">
        <v>275</v>
      </c>
      <c r="G79" s="2" t="s">
        <v>393</v>
      </c>
      <c r="H79" s="2"/>
      <c r="I79" s="2"/>
      <c r="J79" s="2"/>
      <c r="K79" s="2" t="s">
        <v>394</v>
      </c>
      <c r="L79" s="2" t="n">
        <v>7.427</v>
      </c>
      <c r="M79" s="2" t="n">
        <v>0.07</v>
      </c>
      <c r="N79" s="4" t="s">
        <v>71</v>
      </c>
      <c r="O79" s="2" t="n">
        <f aca="false">L79</f>
        <v>7.427</v>
      </c>
      <c r="P79" s="2" t="n">
        <f aca="false">ROUNDUP(ROUND(E79,6)*10,0)/10</f>
        <v>7.5</v>
      </c>
      <c r="Q79" s="2" t="n">
        <f aca="false">MAX(0.1,ROUNDUP(ROUND(O79,6)*10,0)/10)</f>
        <v>7.5</v>
      </c>
      <c r="R79" s="2" t="str">
        <f aca="false">IF(P79&lt;&gt;Q79,"yes","no")</f>
        <v>no</v>
      </c>
      <c r="S79" s="5" t="s">
        <v>395</v>
      </c>
    </row>
    <row r="80" customFormat="false" ht="15" hidden="false" customHeight="false" outlineLevel="0" collapsed="false">
      <c r="A80" s="2" t="n">
        <v>275</v>
      </c>
      <c r="B80" s="2" t="s">
        <v>396</v>
      </c>
      <c r="C80" s="2" t="s">
        <v>291</v>
      </c>
      <c r="D80" s="2" t="s">
        <v>48</v>
      </c>
      <c r="E80" s="2" t="n">
        <v>7.495</v>
      </c>
      <c r="F80" s="2" t="s">
        <v>275</v>
      </c>
      <c r="G80" s="2" t="s">
        <v>257</v>
      </c>
      <c r="H80" s="2"/>
      <c r="I80" s="2" t="n">
        <v>7004</v>
      </c>
      <c r="J80" s="2" t="n">
        <v>90</v>
      </c>
      <c r="K80" s="2" t="s">
        <v>276</v>
      </c>
      <c r="L80" s="2" t="n">
        <v>7.253</v>
      </c>
      <c r="M80" s="2" t="n">
        <v>0.231</v>
      </c>
      <c r="N80" s="4" t="s">
        <v>71</v>
      </c>
      <c r="O80" s="2" t="n">
        <f aca="false">L80</f>
        <v>7.253</v>
      </c>
      <c r="P80" s="2" t="n">
        <f aca="false">ROUNDUP(ROUND(E80,6)*10,0)/10</f>
        <v>7.5</v>
      </c>
      <c r="Q80" s="2" t="n">
        <f aca="false">MAX(0.1,ROUNDUP(ROUND(O80,6)*10,0)/10)</f>
        <v>7.3</v>
      </c>
      <c r="R80" s="2" t="str">
        <f aca="false">IF(P80&lt;&gt;Q80,"yes","no")</f>
        <v>yes</v>
      </c>
      <c r="S80" s="5" t="s">
        <v>397</v>
      </c>
    </row>
    <row r="81" customFormat="false" ht="15" hidden="false" customHeight="false" outlineLevel="0" collapsed="false">
      <c r="A81" s="2" t="n">
        <v>292</v>
      </c>
      <c r="B81" s="2" t="s">
        <v>398</v>
      </c>
      <c r="C81" s="2" t="s">
        <v>260</v>
      </c>
      <c r="D81" s="2" t="s">
        <v>48</v>
      </c>
      <c r="E81" s="2" t="n">
        <v>7.51</v>
      </c>
      <c r="F81" s="2" t="s">
        <v>256</v>
      </c>
      <c r="G81" s="2" t="s">
        <v>257</v>
      </c>
      <c r="H81" s="2"/>
      <c r="I81" s="2" t="n">
        <v>7070</v>
      </c>
      <c r="J81" s="2" t="n">
        <v>120</v>
      </c>
      <c r="K81" s="2" t="s">
        <v>258</v>
      </c>
      <c r="L81" s="2" t="n">
        <v>7.313</v>
      </c>
      <c r="M81" s="2" t="n">
        <v>0.272</v>
      </c>
      <c r="N81" s="4" t="s">
        <v>71</v>
      </c>
      <c r="O81" s="2" t="n">
        <f aca="false">L81</f>
        <v>7.313</v>
      </c>
      <c r="P81" s="2" t="n">
        <f aca="false">ROUNDUP(ROUND(E81,6)*10,0)/10</f>
        <v>7.6</v>
      </c>
      <c r="Q81" s="2" t="n">
        <f aca="false">MAX(0.1,ROUNDUP(ROUND(O81,6)*10,0)/10)</f>
        <v>7.4</v>
      </c>
      <c r="R81" s="2" t="str">
        <f aca="false">IF(P81&lt;&gt;Q81,"yes","no")</f>
        <v>yes</v>
      </c>
      <c r="S81" s="2"/>
    </row>
    <row r="82" customFormat="false" ht="15" hidden="false" customHeight="false" outlineLevel="0" collapsed="false">
      <c r="A82" s="2" t="n">
        <v>235</v>
      </c>
      <c r="B82" s="2" t="s">
        <v>399</v>
      </c>
      <c r="C82" s="2" t="s">
        <v>262</v>
      </c>
      <c r="D82" s="2" t="s">
        <v>39</v>
      </c>
      <c r="E82" s="2" t="n">
        <v>7.563</v>
      </c>
      <c r="F82" s="2" t="s">
        <v>275</v>
      </c>
      <c r="G82" s="2" t="s">
        <v>393</v>
      </c>
      <c r="H82" s="2"/>
      <c r="I82" s="2"/>
      <c r="J82" s="2"/>
      <c r="K82" s="2" t="s">
        <v>394</v>
      </c>
      <c r="L82" s="2" t="n">
        <v>7.563</v>
      </c>
      <c r="M82" s="2" t="n">
        <v>0.097</v>
      </c>
      <c r="N82" s="4" t="s">
        <v>71</v>
      </c>
      <c r="O82" s="2" t="n">
        <f aca="false">L82</f>
        <v>7.563</v>
      </c>
      <c r="P82" s="2" t="n">
        <f aca="false">ROUNDUP(ROUND(E82,6)*10,0)/10</f>
        <v>7.6</v>
      </c>
      <c r="Q82" s="2" t="n">
        <f aca="false">MAX(0.1,ROUNDUP(ROUND(O82,6)*10,0)/10)</f>
        <v>7.6</v>
      </c>
      <c r="R82" s="2" t="str">
        <f aca="false">IF(P82&lt;&gt;Q82,"yes","no")</f>
        <v>no</v>
      </c>
      <c r="S82" s="5" t="s">
        <v>400</v>
      </c>
    </row>
    <row r="83" customFormat="false" ht="15" hidden="false" customHeight="false" outlineLevel="0" collapsed="false">
      <c r="A83" s="2" t="n">
        <v>241</v>
      </c>
      <c r="B83" s="2" t="s">
        <v>401</v>
      </c>
      <c r="C83" s="2" t="s">
        <v>262</v>
      </c>
      <c r="D83" s="2" t="s">
        <v>39</v>
      </c>
      <c r="E83" s="2" t="n">
        <v>7.65</v>
      </c>
      <c r="F83" s="2" t="s">
        <v>275</v>
      </c>
      <c r="G83" s="2" t="s">
        <v>257</v>
      </c>
      <c r="H83" s="2"/>
      <c r="I83" s="2" t="n">
        <v>7191</v>
      </c>
      <c r="J83" s="2" t="n">
        <v>70</v>
      </c>
      <c r="K83" s="2" t="s">
        <v>276</v>
      </c>
      <c r="L83" s="2" t="n">
        <v>7.428</v>
      </c>
      <c r="M83" s="2" t="n">
        <v>0.1795</v>
      </c>
      <c r="N83" s="4" t="s">
        <v>71</v>
      </c>
      <c r="O83" s="2" t="n">
        <f aca="false">L83</f>
        <v>7.428</v>
      </c>
      <c r="P83" s="2" t="n">
        <f aca="false">ROUNDUP(ROUND(E83,6)*10,0)/10</f>
        <v>7.7</v>
      </c>
      <c r="Q83" s="2" t="n">
        <f aca="false">MAX(0.1,ROUNDUP(ROUND(O83,6)*10,0)/10)</f>
        <v>7.5</v>
      </c>
      <c r="R83" s="2" t="str">
        <f aca="false">IF(P83&lt;&gt;Q83,"yes","no")</f>
        <v>yes</v>
      </c>
      <c r="S83" s="5" t="s">
        <v>402</v>
      </c>
    </row>
    <row r="84" customFormat="false" ht="15" hidden="false" customHeight="false" outlineLevel="0" collapsed="false">
      <c r="A84" s="2" t="n">
        <v>283</v>
      </c>
      <c r="B84" s="2" t="s">
        <v>403</v>
      </c>
      <c r="C84" s="2" t="s">
        <v>262</v>
      </c>
      <c r="D84" s="2" t="s">
        <v>39</v>
      </c>
      <c r="E84" s="2" t="n">
        <v>7.67</v>
      </c>
      <c r="F84" s="2" t="s">
        <v>256</v>
      </c>
      <c r="G84" s="2" t="s">
        <v>257</v>
      </c>
      <c r="H84" s="2"/>
      <c r="I84" s="2" t="n">
        <v>7270</v>
      </c>
      <c r="J84" s="2" t="n">
        <v>90</v>
      </c>
      <c r="K84" s="2" t="s">
        <v>258</v>
      </c>
      <c r="L84" s="2" t="n">
        <v>7.499</v>
      </c>
      <c r="M84" s="2" t="n">
        <v>0.2115</v>
      </c>
      <c r="N84" s="4" t="s">
        <v>71</v>
      </c>
      <c r="O84" s="2" t="n">
        <f aca="false">L84</f>
        <v>7.499</v>
      </c>
      <c r="P84" s="2" t="n">
        <f aca="false">ROUNDUP(ROUND(E84,6)*10,0)/10</f>
        <v>7.7</v>
      </c>
      <c r="Q84" s="2" t="n">
        <f aca="false">MAX(0.1,ROUNDUP(ROUND(O84,6)*10,0)/10)</f>
        <v>7.5</v>
      </c>
      <c r="R84" s="2" t="str">
        <f aca="false">IF(P84&lt;&gt;Q84,"yes","no")</f>
        <v>yes</v>
      </c>
      <c r="S84" s="2"/>
    </row>
    <row r="85" customFormat="false" ht="15" hidden="false" customHeight="false" outlineLevel="0" collapsed="false">
      <c r="A85" s="2" t="n">
        <v>321</v>
      </c>
      <c r="B85" s="2" t="s">
        <v>403</v>
      </c>
      <c r="C85" s="2" t="s">
        <v>262</v>
      </c>
      <c r="D85" s="2" t="s">
        <v>39</v>
      </c>
      <c r="E85" s="2" t="n">
        <v>7.67</v>
      </c>
      <c r="F85" s="2" t="s">
        <v>256</v>
      </c>
      <c r="G85" s="2" t="s">
        <v>257</v>
      </c>
      <c r="H85" s="2"/>
      <c r="I85" s="2" t="n">
        <v>7270</v>
      </c>
      <c r="J85" s="2" t="n">
        <v>90</v>
      </c>
      <c r="K85" s="2" t="s">
        <v>258</v>
      </c>
      <c r="L85" s="2" t="n">
        <v>7.499</v>
      </c>
      <c r="M85" s="2" t="n">
        <v>0.2115</v>
      </c>
      <c r="N85" s="4" t="s">
        <v>43</v>
      </c>
      <c r="O85" s="2" t="n">
        <f aca="false">L85</f>
        <v>7.499</v>
      </c>
      <c r="P85" s="2" t="n">
        <f aca="false">ROUNDUP(ROUND(E85,6)*10,0)/10</f>
        <v>7.7</v>
      </c>
      <c r="Q85" s="2" t="n">
        <f aca="false">MAX(0.1,ROUNDUP(ROUND(O85,6)*10,0)/10)</f>
        <v>7.5</v>
      </c>
      <c r="R85" s="2" t="str">
        <f aca="false">IF(P85&lt;&gt;Q85,"yes","no")</f>
        <v>yes</v>
      </c>
      <c r="S85" s="5" t="s">
        <v>271</v>
      </c>
    </row>
    <row r="86" customFormat="false" ht="15" hidden="false" customHeight="false" outlineLevel="0" collapsed="false">
      <c r="A86" s="2" t="n">
        <v>234</v>
      </c>
      <c r="B86" s="2" t="s">
        <v>404</v>
      </c>
      <c r="C86" s="2" t="s">
        <v>262</v>
      </c>
      <c r="D86" s="2" t="s">
        <v>39</v>
      </c>
      <c r="E86" s="2" t="n">
        <v>7.688</v>
      </c>
      <c r="F86" s="2" t="s">
        <v>275</v>
      </c>
      <c r="G86" s="2" t="s">
        <v>393</v>
      </c>
      <c r="H86" s="2"/>
      <c r="I86" s="2"/>
      <c r="J86" s="2"/>
      <c r="K86" s="2" t="s">
        <v>394</v>
      </c>
      <c r="L86" s="2" t="n">
        <v>7.688</v>
      </c>
      <c r="M86" s="2" t="n">
        <v>0.039</v>
      </c>
      <c r="N86" s="4" t="s">
        <v>71</v>
      </c>
      <c r="O86" s="2" t="n">
        <f aca="false">L86</f>
        <v>7.688</v>
      </c>
      <c r="P86" s="2" t="n">
        <f aca="false">ROUNDUP(ROUND(E86,6)*10,0)/10</f>
        <v>7.7</v>
      </c>
      <c r="Q86" s="2" t="n">
        <f aca="false">MAX(0.1,ROUNDUP(ROUND(O86,6)*10,0)/10)</f>
        <v>7.7</v>
      </c>
      <c r="R86" s="2" t="str">
        <f aca="false">IF(P86&lt;&gt;Q86,"yes","no")</f>
        <v>no</v>
      </c>
      <c r="S86" s="5" t="s">
        <v>405</v>
      </c>
    </row>
    <row r="87" customFormat="false" ht="15" hidden="false" customHeight="false" outlineLevel="0" collapsed="false">
      <c r="A87" s="2" t="n">
        <v>233</v>
      </c>
      <c r="B87" s="2" t="s">
        <v>406</v>
      </c>
      <c r="C87" s="2" t="s">
        <v>262</v>
      </c>
      <c r="D87" s="2" t="s">
        <v>39</v>
      </c>
      <c r="E87" s="2" t="n">
        <v>7.71</v>
      </c>
      <c r="F87" s="2" t="s">
        <v>275</v>
      </c>
      <c r="G87" s="2" t="s">
        <v>257</v>
      </c>
      <c r="H87" s="2"/>
      <c r="I87" s="2" t="n">
        <v>7252</v>
      </c>
      <c r="J87" s="2" t="n">
        <v>90</v>
      </c>
      <c r="K87" s="2" t="s">
        <v>276</v>
      </c>
      <c r="L87" s="2" t="n">
        <v>7.483</v>
      </c>
      <c r="M87" s="2" t="n">
        <v>0.209</v>
      </c>
      <c r="N87" s="4" t="s">
        <v>71</v>
      </c>
      <c r="O87" s="2" t="n">
        <f aca="false">L87</f>
        <v>7.483</v>
      </c>
      <c r="P87" s="2" t="n">
        <f aca="false">ROUNDUP(ROUND(E87,6)*10,0)/10</f>
        <v>7.8</v>
      </c>
      <c r="Q87" s="2" t="n">
        <f aca="false">MAX(0.1,ROUNDUP(ROUND(O87,6)*10,0)/10)</f>
        <v>7.5</v>
      </c>
      <c r="R87" s="2" t="str">
        <f aca="false">IF(P87&lt;&gt;Q87,"yes","no")</f>
        <v>yes</v>
      </c>
      <c r="S87" s="5" t="s">
        <v>407</v>
      </c>
    </row>
    <row r="88" customFormat="false" ht="15" hidden="false" customHeight="false" outlineLevel="0" collapsed="false">
      <c r="A88" s="2" t="n">
        <v>282</v>
      </c>
      <c r="B88" s="2" t="s">
        <v>408</v>
      </c>
      <c r="C88" s="2" t="s">
        <v>262</v>
      </c>
      <c r="D88" s="2" t="s">
        <v>39</v>
      </c>
      <c r="E88" s="2" t="n">
        <v>7.757</v>
      </c>
      <c r="F88" s="2" t="s">
        <v>256</v>
      </c>
      <c r="G88" s="2" t="s">
        <v>257</v>
      </c>
      <c r="H88" s="2"/>
      <c r="I88" s="2" t="n">
        <v>7360</v>
      </c>
      <c r="J88" s="2" t="n">
        <v>80</v>
      </c>
      <c r="K88" s="2" t="s">
        <v>258</v>
      </c>
      <c r="L88" s="2" t="n">
        <v>7.582</v>
      </c>
      <c r="M88" s="2" t="n">
        <v>0.201</v>
      </c>
      <c r="N88" s="4" t="s">
        <v>71</v>
      </c>
      <c r="O88" s="2" t="n">
        <f aca="false">L88</f>
        <v>7.582</v>
      </c>
      <c r="P88" s="2" t="n">
        <f aca="false">ROUNDUP(ROUND(E88,6)*10,0)/10</f>
        <v>7.8</v>
      </c>
      <c r="Q88" s="2" t="n">
        <f aca="false">MAX(0.1,ROUNDUP(ROUND(O88,6)*10,0)/10)</f>
        <v>7.6</v>
      </c>
      <c r="R88" s="2" t="str">
        <f aca="false">IF(P88&lt;&gt;Q88,"yes","no")</f>
        <v>yes</v>
      </c>
      <c r="S88" s="2"/>
    </row>
    <row r="89" customFormat="false" ht="15" hidden="false" customHeight="false" outlineLevel="0" collapsed="false">
      <c r="A89" s="2" t="n">
        <v>320</v>
      </c>
      <c r="B89" s="2" t="s">
        <v>408</v>
      </c>
      <c r="C89" s="2" t="s">
        <v>262</v>
      </c>
      <c r="D89" s="2" t="s">
        <v>39</v>
      </c>
      <c r="E89" s="2" t="n">
        <v>7.77</v>
      </c>
      <c r="F89" s="2" t="s">
        <v>256</v>
      </c>
      <c r="G89" s="2" t="s">
        <v>257</v>
      </c>
      <c r="H89" s="2"/>
      <c r="I89" s="2" t="n">
        <v>7360</v>
      </c>
      <c r="J89" s="2" t="n">
        <v>80</v>
      </c>
      <c r="K89" s="2" t="s">
        <v>258</v>
      </c>
      <c r="L89" s="2" t="n">
        <v>7.582</v>
      </c>
      <c r="M89" s="2" t="n">
        <v>0.201</v>
      </c>
      <c r="N89" s="4" t="s">
        <v>43</v>
      </c>
      <c r="O89" s="2" t="n">
        <f aca="false">L89</f>
        <v>7.582</v>
      </c>
      <c r="P89" s="2" t="n">
        <f aca="false">ROUNDUP(ROUND(E89,6)*10,0)/10</f>
        <v>7.8</v>
      </c>
      <c r="Q89" s="2" t="n">
        <f aca="false">MAX(0.1,ROUNDUP(ROUND(O89,6)*10,0)/10)</f>
        <v>7.6</v>
      </c>
      <c r="R89" s="2" t="str">
        <f aca="false">IF(P89&lt;&gt;Q89,"yes","no")</f>
        <v>yes</v>
      </c>
      <c r="S89" s="5" t="s">
        <v>271</v>
      </c>
    </row>
    <row r="90" customFormat="false" ht="15" hidden="false" customHeight="false" outlineLevel="0" collapsed="false">
      <c r="A90" s="2" t="n">
        <v>248</v>
      </c>
      <c r="B90" s="2" t="s">
        <v>409</v>
      </c>
      <c r="C90" s="2" t="s">
        <v>262</v>
      </c>
      <c r="D90" s="2" t="s">
        <v>39</v>
      </c>
      <c r="E90" s="2" t="n">
        <v>7.825</v>
      </c>
      <c r="F90" s="2" t="s">
        <v>275</v>
      </c>
      <c r="G90" s="2" t="s">
        <v>257</v>
      </c>
      <c r="H90" s="2"/>
      <c r="I90" s="2" t="n">
        <v>7374</v>
      </c>
      <c r="J90" s="2" t="n">
        <v>55</v>
      </c>
      <c r="K90" s="2" t="s">
        <v>276</v>
      </c>
      <c r="L90" s="2" t="n">
        <v>7.593</v>
      </c>
      <c r="M90" s="2" t="n">
        <v>0.169</v>
      </c>
      <c r="N90" s="4" t="s">
        <v>71</v>
      </c>
      <c r="O90" s="2" t="n">
        <f aca="false">L90</f>
        <v>7.593</v>
      </c>
      <c r="P90" s="2" t="n">
        <f aca="false">ROUNDUP(ROUND(E90,6)*10,0)/10</f>
        <v>7.9</v>
      </c>
      <c r="Q90" s="2" t="n">
        <f aca="false">MAX(0.1,ROUNDUP(ROUND(O90,6)*10,0)/10)</f>
        <v>7.6</v>
      </c>
      <c r="R90" s="2" t="str">
        <f aca="false">IF(P90&lt;&gt;Q90,"yes","no")</f>
        <v>yes</v>
      </c>
      <c r="S90" s="5" t="s">
        <v>410</v>
      </c>
    </row>
    <row r="91" customFormat="false" ht="15" hidden="false" customHeight="false" outlineLevel="0" collapsed="false">
      <c r="A91" s="2" t="n">
        <v>271</v>
      </c>
      <c r="B91" s="2" t="s">
        <v>411</v>
      </c>
      <c r="C91" s="2" t="s">
        <v>291</v>
      </c>
      <c r="D91" s="2" t="s">
        <v>48</v>
      </c>
      <c r="E91" s="2" t="n">
        <v>7.86</v>
      </c>
      <c r="F91" s="2" t="s">
        <v>275</v>
      </c>
      <c r="G91" s="2" t="s">
        <v>257</v>
      </c>
      <c r="H91" s="2"/>
      <c r="I91" s="2" t="n">
        <v>7406</v>
      </c>
      <c r="J91" s="2" t="n">
        <v>40</v>
      </c>
      <c r="K91" s="2" t="s">
        <v>276</v>
      </c>
      <c r="L91" s="2" t="n">
        <v>7.622</v>
      </c>
      <c r="M91" s="2" t="n">
        <v>0.157</v>
      </c>
      <c r="N91" s="4" t="s">
        <v>71</v>
      </c>
      <c r="O91" s="2" t="n">
        <f aca="false">L91</f>
        <v>7.622</v>
      </c>
      <c r="P91" s="2" t="n">
        <f aca="false">ROUNDUP(ROUND(E91,6)*10,0)/10</f>
        <v>7.9</v>
      </c>
      <c r="Q91" s="2" t="n">
        <f aca="false">MAX(0.1,ROUNDUP(ROUND(O91,6)*10,0)/10)</f>
        <v>7.7</v>
      </c>
      <c r="R91" s="2" t="str">
        <f aca="false">IF(P91&lt;&gt;Q91,"yes","no")</f>
        <v>yes</v>
      </c>
      <c r="S91" s="5" t="s">
        <v>412</v>
      </c>
    </row>
    <row r="92" customFormat="false" ht="15" hidden="false" customHeight="false" outlineLevel="0" collapsed="false">
      <c r="A92" s="2" t="n">
        <v>259</v>
      </c>
      <c r="B92" s="2" t="s">
        <v>413</v>
      </c>
      <c r="C92" s="2" t="s">
        <v>260</v>
      </c>
      <c r="D92" s="2" t="s">
        <v>48</v>
      </c>
      <c r="E92" s="2" t="n">
        <v>8</v>
      </c>
      <c r="F92" s="2" t="s">
        <v>275</v>
      </c>
      <c r="G92" s="2" t="s">
        <v>257</v>
      </c>
      <c r="H92" s="2"/>
      <c r="I92" s="2" t="n">
        <v>7551</v>
      </c>
      <c r="J92" s="2" t="n">
        <v>55</v>
      </c>
      <c r="K92" s="2" t="s">
        <v>276</v>
      </c>
      <c r="L92" s="2" t="n">
        <v>7.763</v>
      </c>
      <c r="M92" s="2" t="n">
        <v>0.17</v>
      </c>
      <c r="N92" s="4" t="s">
        <v>71</v>
      </c>
      <c r="O92" s="2" t="n">
        <f aca="false">L92</f>
        <v>7.763</v>
      </c>
      <c r="P92" s="2" t="n">
        <f aca="false">ROUNDUP(ROUND(E92,6)*10,0)/10</f>
        <v>8</v>
      </c>
      <c r="Q92" s="2" t="n">
        <f aca="false">MAX(0.1,ROUNDUP(ROUND(O92,6)*10,0)/10)</f>
        <v>7.8</v>
      </c>
      <c r="R92" s="2" t="str">
        <f aca="false">IF(P92&lt;&gt;Q92,"yes","no")</f>
        <v>yes</v>
      </c>
      <c r="S92" s="5" t="s">
        <v>414</v>
      </c>
    </row>
    <row r="93" customFormat="false" ht="15" hidden="false" customHeight="false" outlineLevel="0" collapsed="false">
      <c r="A93" s="2" t="n">
        <v>249</v>
      </c>
      <c r="B93" s="2" t="s">
        <v>415</v>
      </c>
      <c r="C93" s="2" t="s">
        <v>260</v>
      </c>
      <c r="D93" s="2" t="s">
        <v>48</v>
      </c>
      <c r="E93" s="2" t="n">
        <v>8.06</v>
      </c>
      <c r="F93" s="2" t="s">
        <v>275</v>
      </c>
      <c r="G93" s="2" t="s">
        <v>257</v>
      </c>
      <c r="H93" s="2"/>
      <c r="I93" s="2" t="n">
        <v>7610</v>
      </c>
      <c r="J93" s="2" t="n">
        <v>65</v>
      </c>
      <c r="K93" s="2" t="s">
        <v>276</v>
      </c>
      <c r="L93" s="2" t="n">
        <v>7.82</v>
      </c>
      <c r="M93" s="2" t="n">
        <v>0.183</v>
      </c>
      <c r="N93" s="4" t="s">
        <v>71</v>
      </c>
      <c r="O93" s="2" t="n">
        <f aca="false">L93</f>
        <v>7.82</v>
      </c>
      <c r="P93" s="2" t="n">
        <f aca="false">ROUNDUP(ROUND(E93,6)*10,0)/10</f>
        <v>8.1</v>
      </c>
      <c r="Q93" s="2" t="n">
        <f aca="false">MAX(0.1,ROUNDUP(ROUND(O93,6)*10,0)/10)</f>
        <v>7.9</v>
      </c>
      <c r="R93" s="2" t="str">
        <f aca="false">IF(P93&lt;&gt;Q93,"yes","no")</f>
        <v>yes</v>
      </c>
      <c r="S93" s="5" t="s">
        <v>416</v>
      </c>
    </row>
    <row r="94" customFormat="false" ht="15" hidden="false" customHeight="false" outlineLevel="0" collapsed="false">
      <c r="A94" s="2" t="n">
        <v>237</v>
      </c>
      <c r="B94" s="2" t="s">
        <v>417</v>
      </c>
      <c r="C94" s="2" t="s">
        <v>262</v>
      </c>
      <c r="D94" s="2" t="s">
        <v>39</v>
      </c>
      <c r="E94" s="2" t="n">
        <v>8.076</v>
      </c>
      <c r="F94" s="2" t="s">
        <v>275</v>
      </c>
      <c r="G94" s="2" t="s">
        <v>393</v>
      </c>
      <c r="H94" s="2"/>
      <c r="I94" s="2"/>
      <c r="J94" s="2"/>
      <c r="K94" s="2" t="s">
        <v>394</v>
      </c>
      <c r="L94" s="2" t="n">
        <v>8.076</v>
      </c>
      <c r="M94" s="2" t="n">
        <v>0.08</v>
      </c>
      <c r="N94" s="4" t="s">
        <v>71</v>
      </c>
      <c r="O94" s="2" t="n">
        <f aca="false">L94</f>
        <v>8.076</v>
      </c>
      <c r="P94" s="2" t="n">
        <f aca="false">ROUNDUP(ROUND(E94,6)*10,0)/10</f>
        <v>8.1</v>
      </c>
      <c r="Q94" s="2" t="n">
        <f aca="false">MAX(0.1,ROUNDUP(ROUND(O94,6)*10,0)/10)</f>
        <v>8.1</v>
      </c>
      <c r="R94" s="2" t="str">
        <f aca="false">IF(P94&lt;&gt;Q94,"yes","no")</f>
        <v>no</v>
      </c>
      <c r="S94" s="5" t="s">
        <v>418</v>
      </c>
    </row>
    <row r="95" customFormat="false" ht="15" hidden="false" customHeight="false" outlineLevel="0" collapsed="false">
      <c r="A95" s="2" t="n">
        <v>242</v>
      </c>
      <c r="B95" s="2" t="s">
        <v>419</v>
      </c>
      <c r="C95" s="2" t="s">
        <v>262</v>
      </c>
      <c r="D95" s="2" t="s">
        <v>39</v>
      </c>
      <c r="E95" s="2" t="n">
        <v>8.105</v>
      </c>
      <c r="F95" s="2" t="s">
        <v>275</v>
      </c>
      <c r="G95" s="2" t="s">
        <v>257</v>
      </c>
      <c r="H95" s="2"/>
      <c r="I95" s="2" t="n">
        <v>7655</v>
      </c>
      <c r="J95" s="2" t="n">
        <v>95</v>
      </c>
      <c r="K95" s="2" t="s">
        <v>276</v>
      </c>
      <c r="L95" s="2" t="n">
        <v>7.865</v>
      </c>
      <c r="M95" s="2" t="n">
        <v>0.24</v>
      </c>
      <c r="N95" s="4" t="s">
        <v>71</v>
      </c>
      <c r="O95" s="2" t="n">
        <f aca="false">L95</f>
        <v>7.865</v>
      </c>
      <c r="P95" s="2" t="n">
        <f aca="false">ROUNDUP(ROUND(E95,6)*10,0)/10</f>
        <v>8.2</v>
      </c>
      <c r="Q95" s="2" t="n">
        <f aca="false">MAX(0.1,ROUNDUP(ROUND(O95,6)*10,0)/10)</f>
        <v>7.9</v>
      </c>
      <c r="R95" s="2" t="str">
        <f aca="false">IF(P95&lt;&gt;Q95,"yes","no")</f>
        <v>yes</v>
      </c>
      <c r="S95" s="5" t="s">
        <v>420</v>
      </c>
    </row>
    <row r="96" customFormat="false" ht="15" hidden="false" customHeight="false" outlineLevel="0" collapsed="false">
      <c r="A96" s="2" t="n">
        <v>260</v>
      </c>
      <c r="B96" s="2" t="s">
        <v>421</v>
      </c>
      <c r="C96" s="2" t="s">
        <v>260</v>
      </c>
      <c r="D96" s="2" t="s">
        <v>48</v>
      </c>
      <c r="E96" s="2" t="n">
        <v>8.765</v>
      </c>
      <c r="F96" s="2" t="s">
        <v>275</v>
      </c>
      <c r="G96" s="2" t="s">
        <v>257</v>
      </c>
      <c r="H96" s="2"/>
      <c r="I96" s="2" t="n">
        <v>8276</v>
      </c>
      <c r="J96" s="2" t="n">
        <v>85</v>
      </c>
      <c r="K96" s="2" t="s">
        <v>276</v>
      </c>
      <c r="L96" s="2" t="n">
        <v>8.531</v>
      </c>
      <c r="M96" s="2" t="n">
        <v>0.269</v>
      </c>
      <c r="N96" s="4" t="s">
        <v>71</v>
      </c>
      <c r="O96" s="2" t="n">
        <f aca="false">L96</f>
        <v>8.531</v>
      </c>
      <c r="P96" s="2" t="n">
        <f aca="false">ROUNDUP(ROUND(E96,6)*10,0)/10</f>
        <v>8.8</v>
      </c>
      <c r="Q96" s="2" t="n">
        <f aca="false">MAX(0.1,ROUNDUP(ROUND(O96,6)*10,0)/10)</f>
        <v>8.6</v>
      </c>
      <c r="R96" s="2" t="str">
        <f aca="false">IF(P96&lt;&gt;Q96,"yes","no")</f>
        <v>yes</v>
      </c>
      <c r="S96" s="5" t="s">
        <v>422</v>
      </c>
    </row>
    <row r="97" customFormat="false" ht="15" hidden="false" customHeight="false" outlineLevel="0" collapsed="false">
      <c r="A97" s="2" t="n">
        <v>243</v>
      </c>
      <c r="B97" s="2" t="s">
        <v>423</v>
      </c>
      <c r="C97" s="2" t="s">
        <v>262</v>
      </c>
      <c r="D97" s="2" t="s">
        <v>39</v>
      </c>
      <c r="E97" s="2" t="n">
        <v>8.89</v>
      </c>
      <c r="F97" s="2" t="s">
        <v>275</v>
      </c>
      <c r="G97" s="2" t="s">
        <v>257</v>
      </c>
      <c r="H97" s="2"/>
      <c r="I97" s="2" t="n">
        <v>8377</v>
      </c>
      <c r="J97" s="2" t="n">
        <v>40</v>
      </c>
      <c r="K97" s="2" t="s">
        <v>276</v>
      </c>
      <c r="L97" s="2" t="n">
        <v>8.656</v>
      </c>
      <c r="M97" s="2" t="n">
        <v>0.2195</v>
      </c>
      <c r="N97" s="4" t="s">
        <v>71</v>
      </c>
      <c r="O97" s="2" t="n">
        <f aca="false">L97</f>
        <v>8.656</v>
      </c>
      <c r="P97" s="2" t="n">
        <f aca="false">ROUNDUP(ROUND(E97,6)*10,0)/10</f>
        <v>8.9</v>
      </c>
      <c r="Q97" s="2" t="n">
        <f aca="false">MAX(0.1,ROUNDUP(ROUND(O97,6)*10,0)/10)</f>
        <v>8.7</v>
      </c>
      <c r="R97" s="2" t="str">
        <f aca="false">IF(P97&lt;&gt;Q97,"yes","no")</f>
        <v>yes</v>
      </c>
      <c r="S97" s="5" t="s">
        <v>424</v>
      </c>
    </row>
    <row r="98" customFormat="false" ht="15" hidden="false" customHeight="false" outlineLevel="0" collapsed="false">
      <c r="A98" s="2" t="n">
        <v>272</v>
      </c>
      <c r="B98" s="2" t="s">
        <v>425</v>
      </c>
      <c r="C98" s="2" t="s">
        <v>262</v>
      </c>
      <c r="D98" s="2" t="s">
        <v>39</v>
      </c>
      <c r="E98" s="2" t="n">
        <v>10.29</v>
      </c>
      <c r="F98" s="2" t="s">
        <v>275</v>
      </c>
      <c r="G98" s="2" t="s">
        <v>257</v>
      </c>
      <c r="H98" s="2"/>
      <c r="I98" s="2" t="n">
        <v>9584</v>
      </c>
      <c r="J98" s="2" t="n">
        <v>30</v>
      </c>
      <c r="K98" s="2" t="s">
        <v>276</v>
      </c>
      <c r="L98" s="2" t="n">
        <v>10.213</v>
      </c>
      <c r="M98" s="2" t="n">
        <v>0.1885</v>
      </c>
      <c r="N98" s="4" t="s">
        <v>71</v>
      </c>
      <c r="O98" s="2" t="n">
        <f aca="false">L98</f>
        <v>10.213</v>
      </c>
      <c r="P98" s="2" t="n">
        <f aca="false">ROUNDUP(ROUND(E98,6)*10,0)/10</f>
        <v>10.3</v>
      </c>
      <c r="Q98" s="2" t="n">
        <f aca="false">MAX(0.1,ROUNDUP(ROUND(O98,6)*10,0)/10)</f>
        <v>10.3</v>
      </c>
      <c r="R98" s="2" t="str">
        <f aca="false">IF(P98&lt;&gt;Q98,"yes","no")</f>
        <v>no</v>
      </c>
      <c r="S98" s="5" t="s">
        <v>426</v>
      </c>
    </row>
    <row r="100" customFormat="false" ht="15" hidden="false" customHeight="false" outlineLevel="0" collapsed="false">
      <c r="A100" s="1" t="s">
        <v>427</v>
      </c>
      <c r="E100" s="2" t="n">
        <f aca="false">COUNTIFS(D2:D98,"palmata",E2:E98,"&lt;=6")</f>
        <v>24</v>
      </c>
    </row>
    <row r="101" customFormat="false" ht="15" hidden="false" customHeight="false" outlineLevel="0" collapsed="false">
      <c r="A101" s="1" t="s">
        <v>428</v>
      </c>
      <c r="E101" s="2" t="n">
        <f aca="false">COUNTIFS(D2:D98,"palmata",O2:O98,"&lt;=6",N2:N98,"yes")</f>
        <v>22</v>
      </c>
    </row>
    <row r="102" customFormat="false" ht="15" hidden="false" customHeight="false" outlineLevel="0" collapsed="false">
      <c r="A102" s="1" t="s">
        <v>429</v>
      </c>
      <c r="E102" s="2" t="n">
        <f aca="false">COUNTIFS(D2:D98,"palmata",O2:O98,"&lt;=6",N2:N98,"yes",R2:R98,"yes")</f>
        <v>22</v>
      </c>
    </row>
    <row r="103" customFormat="false" ht="15" hidden="false" customHeight="false" outlineLevel="0" collapsed="false">
      <c r="A103" s="1" t="s">
        <v>430</v>
      </c>
      <c r="E103" s="2" t="n">
        <f aca="false">COUNTIFS(D2:D98,"palmata",E2:E98,"&gt;6",O2:O98,"&lt;=6",N2:N98,"yes")</f>
        <v>1</v>
      </c>
    </row>
    <row r="105" customFormat="false" ht="15" hidden="false" customHeight="false" outlineLevel="0" collapsed="false">
      <c r="A105" s="7" t="s">
        <v>431</v>
      </c>
    </row>
    <row r="106" customFormat="false" ht="15" hidden="false" customHeight="false" outlineLevel="0" collapsed="false">
      <c r="A106" s="7" t="s">
        <v>432</v>
      </c>
    </row>
    <row r="107" customFormat="false" ht="15" hidden="false" customHeight="false" outlineLevel="0" collapsed="false">
      <c r="A107" s="7" t="s">
        <v>433</v>
      </c>
    </row>
    <row r="108" customFormat="false" ht="15" hidden="false" customHeight="false" outlineLevel="0" collapsed="false">
      <c r="A108" s="7" t="s">
        <v>434</v>
      </c>
    </row>
    <row r="109" customFormat="false" ht="15" hidden="false" customHeight="false" outlineLevel="0" collapsed="false">
      <c r="A109" s="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9" min="8" style="0" width="7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30"/>
    <col collapsed="false" customWidth="true" hidden="false" outlineLevel="0" max="14" min="13" style="0" width="9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19" min="18" style="0" width="7"/>
    <col collapsed="false" customWidth="true" hidden="false" outlineLevel="0" max="20" min="20" style="0" width="8"/>
    <col collapsed="false" customWidth="true" hidden="false" outlineLevel="0" max="21" min="21" style="0" width="80"/>
    <col collapsed="false" customWidth="true" hidden="false" outlineLevel="0" max="22" min="22" style="0" width="9"/>
    <col collapsed="false" customWidth="true" hidden="false" outlineLevel="0" max="23" min="23" style="0" width="7"/>
    <col collapsed="false" customWidth="true" hidden="false" outlineLevel="0" max="24" min="24" style="0" width="8"/>
  </cols>
  <sheetData>
    <row r="1" customFormat="false" ht="39.55" hidden="false" customHeight="false" outlineLevel="0" collapsed="false">
      <c r="A1" s="3" t="s">
        <v>13</v>
      </c>
      <c r="B1" s="3" t="s">
        <v>436</v>
      </c>
      <c r="C1" s="3" t="s">
        <v>437</v>
      </c>
      <c r="D1" s="3" t="s">
        <v>27</v>
      </c>
      <c r="E1" s="3" t="s">
        <v>438</v>
      </c>
      <c r="F1" s="3" t="s">
        <v>439</v>
      </c>
      <c r="G1" s="3" t="s">
        <v>244</v>
      </c>
      <c r="H1" s="3" t="s">
        <v>19</v>
      </c>
      <c r="I1" s="3" t="s">
        <v>440</v>
      </c>
      <c r="J1" s="3" t="s">
        <v>246</v>
      </c>
      <c r="K1" s="3" t="s">
        <v>247</v>
      </c>
      <c r="L1" s="3" t="s">
        <v>248</v>
      </c>
      <c r="M1" s="3" t="s">
        <v>249</v>
      </c>
      <c r="N1" s="3" t="s">
        <v>250</v>
      </c>
      <c r="O1" s="3" t="s">
        <v>251</v>
      </c>
      <c r="P1" s="3" t="s">
        <v>441</v>
      </c>
      <c r="Q1" s="3" t="s">
        <v>252</v>
      </c>
      <c r="R1" s="3" t="s">
        <v>31</v>
      </c>
      <c r="S1" s="3" t="s">
        <v>253</v>
      </c>
      <c r="T1" s="3" t="s">
        <v>33</v>
      </c>
      <c r="U1" s="3" t="s">
        <v>36</v>
      </c>
      <c r="V1" s="3" t="s">
        <v>442</v>
      </c>
      <c r="W1" s="3" t="s">
        <v>443</v>
      </c>
      <c r="X1" s="3" t="s">
        <v>444</v>
      </c>
    </row>
    <row r="2" customFormat="false" ht="15" hidden="false" customHeight="false" outlineLevel="0" collapsed="false">
      <c r="A2" s="2" t="n">
        <v>151</v>
      </c>
      <c r="B2" s="2" t="s">
        <v>445</v>
      </c>
      <c r="C2" s="2" t="s">
        <v>39</v>
      </c>
      <c r="D2" s="2" t="n">
        <v>0</v>
      </c>
      <c r="E2" s="2" t="s">
        <v>446</v>
      </c>
      <c r="F2" s="2" t="s">
        <v>262</v>
      </c>
      <c r="G2" s="2" t="s">
        <v>447</v>
      </c>
      <c r="H2" s="2" t="n">
        <v>0.325</v>
      </c>
      <c r="I2" s="2" t="n">
        <v>0</v>
      </c>
      <c r="J2" s="2"/>
      <c r="K2" s="2"/>
      <c r="L2" s="2"/>
      <c r="M2" s="2" t="n">
        <v>0</v>
      </c>
      <c r="N2" s="2"/>
      <c r="O2" s="4" t="s">
        <v>71</v>
      </c>
      <c r="P2" s="4" t="s">
        <v>39</v>
      </c>
      <c r="Q2" s="2" t="n">
        <f aca="false">M2</f>
        <v>0</v>
      </c>
      <c r="R2" s="2" t="n">
        <f aca="false">MAX(0.1,ROUNDUP(ROUND(D2,6)*10,0)/10)</f>
        <v>0.1</v>
      </c>
      <c r="S2" s="2" t="n">
        <f aca="false">MAX(0.1,ROUNDUP(ROUND(Q2,6)*10,0)/10)</f>
        <v>0.1</v>
      </c>
      <c r="T2" s="2" t="str">
        <f aca="false">IF(R2&lt;&gt;S2,"yes","no")</f>
        <v>no</v>
      </c>
      <c r="U2" s="5" t="s">
        <v>448</v>
      </c>
      <c r="V2" s="2" t="n">
        <v>0</v>
      </c>
      <c r="W2" s="2" t="n">
        <f aca="false">MAX(0.1,ROUNDUP(ROUND(V2,6)*10,0)/10)</f>
        <v>0.1</v>
      </c>
      <c r="X2" s="2" t="str">
        <f aca="false">IF(W2&lt;&gt;S2,"yes","no")</f>
        <v>no</v>
      </c>
    </row>
    <row r="3" customFormat="false" ht="15" hidden="false" customHeight="false" outlineLevel="0" collapsed="false">
      <c r="A3" s="2" t="n">
        <v>187</v>
      </c>
      <c r="B3" s="2" t="s">
        <v>449</v>
      </c>
      <c r="C3" s="2" t="s">
        <v>450</v>
      </c>
      <c r="D3" s="2" t="n">
        <v>0.083</v>
      </c>
      <c r="E3" s="2" t="s">
        <v>451</v>
      </c>
      <c r="F3" s="2" t="s">
        <v>451</v>
      </c>
      <c r="G3" s="2" t="s">
        <v>447</v>
      </c>
      <c r="H3" s="2" t="n">
        <v>0.625</v>
      </c>
      <c r="I3" s="2" t="n">
        <v>4</v>
      </c>
      <c r="J3" s="2"/>
      <c r="K3" s="2"/>
      <c r="L3" s="2"/>
      <c r="M3" s="2" t="n">
        <v>0.083</v>
      </c>
      <c r="N3" s="2"/>
      <c r="O3" s="4" t="s">
        <v>71</v>
      </c>
      <c r="P3" s="4" t="s">
        <v>450</v>
      </c>
      <c r="Q3" s="2" t="n">
        <f aca="false">M3</f>
        <v>0.083</v>
      </c>
      <c r="R3" s="2" t="n">
        <f aca="false">MAX(0.1,ROUNDUP(ROUND(D3,6)*10,0)/10)</f>
        <v>0.1</v>
      </c>
      <c r="S3" s="2" t="n">
        <f aca="false">MAX(0.1,ROUNDUP(ROUND(Q3,6)*10,0)/10)</f>
        <v>0.1</v>
      </c>
      <c r="T3" s="2" t="str">
        <f aca="false">IF(R3&lt;&gt;S3,"yes","no")</f>
        <v>no</v>
      </c>
      <c r="U3" s="2"/>
      <c r="V3" s="2" t="n">
        <v>0.083</v>
      </c>
      <c r="W3" s="2" t="n">
        <f aca="false">MAX(0.1,ROUNDUP(ROUND(V3,6)*10,0)/10)</f>
        <v>0.1</v>
      </c>
      <c r="X3" s="2" t="str">
        <f aca="false">IF(W3&lt;&gt;S3,"yes","no")</f>
        <v>no</v>
      </c>
    </row>
    <row r="4" customFormat="false" ht="15" hidden="false" customHeight="false" outlineLevel="0" collapsed="false">
      <c r="A4" s="2" t="n">
        <v>106</v>
      </c>
      <c r="B4" s="2" t="s">
        <v>452</v>
      </c>
      <c r="C4" s="2" t="s">
        <v>39</v>
      </c>
      <c r="D4" s="2" t="n">
        <v>0.087</v>
      </c>
      <c r="E4" s="2" t="s">
        <v>446</v>
      </c>
      <c r="F4" s="2" t="s">
        <v>262</v>
      </c>
      <c r="G4" s="2" t="s">
        <v>447</v>
      </c>
      <c r="H4" s="2" t="n">
        <v>0.275</v>
      </c>
      <c r="I4" s="2" t="n">
        <v>8</v>
      </c>
      <c r="J4" s="2"/>
      <c r="K4" s="2"/>
      <c r="L4" s="2"/>
      <c r="M4" s="2" t="n">
        <v>0.087</v>
      </c>
      <c r="N4" s="2"/>
      <c r="O4" s="4" t="s">
        <v>71</v>
      </c>
      <c r="P4" s="4" t="s">
        <v>39</v>
      </c>
      <c r="Q4" s="2" t="n">
        <f aca="false">M4</f>
        <v>0.087</v>
      </c>
      <c r="R4" s="2" t="n">
        <f aca="false">MAX(0.1,ROUNDUP(ROUND(D4,6)*10,0)/10)</f>
        <v>0.1</v>
      </c>
      <c r="S4" s="2" t="n">
        <f aca="false">MAX(0.1,ROUNDUP(ROUND(Q4,6)*10,0)/10)</f>
        <v>0.1</v>
      </c>
      <c r="T4" s="2" t="str">
        <f aca="false">IF(R4&lt;&gt;S4,"yes","no")</f>
        <v>no</v>
      </c>
      <c r="U4" s="2"/>
      <c r="V4" s="2" t="n">
        <v>0.087</v>
      </c>
      <c r="W4" s="2" t="n">
        <f aca="false">MAX(0.1,ROUNDUP(ROUND(V4,6)*10,0)/10)</f>
        <v>0.1</v>
      </c>
      <c r="X4" s="2" t="str">
        <f aca="false">IF(W4&lt;&gt;S4,"yes","no")</f>
        <v>no</v>
      </c>
    </row>
    <row r="5" customFormat="false" ht="15" hidden="false" customHeight="false" outlineLevel="0" collapsed="false">
      <c r="A5" s="2" t="n">
        <v>219</v>
      </c>
      <c r="B5" s="2" t="s">
        <v>453</v>
      </c>
      <c r="C5" s="2" t="s">
        <v>39</v>
      </c>
      <c r="D5" s="2" t="n">
        <v>0.099</v>
      </c>
      <c r="E5" s="2" t="s">
        <v>446</v>
      </c>
      <c r="F5" s="2" t="s">
        <v>262</v>
      </c>
      <c r="G5" s="2" t="s">
        <v>447</v>
      </c>
      <c r="H5" s="2" t="n">
        <v>0.45</v>
      </c>
      <c r="I5" s="2" t="n">
        <v>2</v>
      </c>
      <c r="J5" s="2"/>
      <c r="K5" s="2"/>
      <c r="L5" s="2"/>
      <c r="M5" s="2" t="n">
        <v>0.099</v>
      </c>
      <c r="N5" s="2"/>
      <c r="O5" s="4" t="s">
        <v>71</v>
      </c>
      <c r="P5" s="4" t="s">
        <v>39</v>
      </c>
      <c r="Q5" s="2" t="n">
        <f aca="false">M5</f>
        <v>0.099</v>
      </c>
      <c r="R5" s="2" t="n">
        <f aca="false">MAX(0.1,ROUNDUP(ROUND(D5,6)*10,0)/10)</f>
        <v>0.1</v>
      </c>
      <c r="S5" s="2" t="n">
        <f aca="false">MAX(0.1,ROUNDUP(ROUND(Q5,6)*10,0)/10)</f>
        <v>0.1</v>
      </c>
      <c r="T5" s="2" t="str">
        <f aca="false">IF(R5&lt;&gt;S5,"yes","no")</f>
        <v>no</v>
      </c>
      <c r="U5" s="2"/>
      <c r="V5" s="2" t="n">
        <v>0.099</v>
      </c>
      <c r="W5" s="2" t="n">
        <f aca="false">MAX(0.1,ROUNDUP(ROUND(V5,6)*10,0)/10)</f>
        <v>0.1</v>
      </c>
      <c r="X5" s="2" t="str">
        <f aca="false">IF(W5&lt;&gt;S5,"yes","no")</f>
        <v>no</v>
      </c>
    </row>
    <row r="6" customFormat="false" ht="15" hidden="false" customHeight="false" outlineLevel="0" collapsed="false">
      <c r="A6" s="2" t="n">
        <v>196</v>
      </c>
      <c r="B6" s="2" t="s">
        <v>454</v>
      </c>
      <c r="C6" s="2" t="s">
        <v>39</v>
      </c>
      <c r="D6" s="2" t="n">
        <v>0.119</v>
      </c>
      <c r="E6" s="2" t="s">
        <v>446</v>
      </c>
      <c r="F6" s="2" t="s">
        <v>262</v>
      </c>
      <c r="G6" s="2" t="s">
        <v>447</v>
      </c>
      <c r="H6" s="2" t="n">
        <v>0.55</v>
      </c>
      <c r="I6" s="2" t="n">
        <v>5</v>
      </c>
      <c r="J6" s="2"/>
      <c r="K6" s="2"/>
      <c r="L6" s="2"/>
      <c r="M6" s="2" t="n">
        <v>0.119</v>
      </c>
      <c r="N6" s="2"/>
      <c r="O6" s="4" t="s">
        <v>71</v>
      </c>
      <c r="P6" s="4" t="s">
        <v>39</v>
      </c>
      <c r="Q6" s="2" t="n">
        <f aca="false">M6</f>
        <v>0.119</v>
      </c>
      <c r="R6" s="2" t="n">
        <f aca="false">MAX(0.1,ROUNDUP(ROUND(D6,6)*10,0)/10)</f>
        <v>0.2</v>
      </c>
      <c r="S6" s="2" t="n">
        <f aca="false">MAX(0.1,ROUNDUP(ROUND(Q6,6)*10,0)/10)</f>
        <v>0.2</v>
      </c>
      <c r="T6" s="2" t="str">
        <f aca="false">IF(R6&lt;&gt;S6,"yes","no")</f>
        <v>no</v>
      </c>
      <c r="U6" s="2"/>
      <c r="V6" s="2" t="n">
        <v>0.119</v>
      </c>
      <c r="W6" s="2" t="n">
        <f aca="false">MAX(0.1,ROUNDUP(ROUND(V6,6)*10,0)/10)</f>
        <v>0.2</v>
      </c>
      <c r="X6" s="2" t="str">
        <f aca="false">IF(W6&lt;&gt;S6,"yes","no")</f>
        <v>no</v>
      </c>
    </row>
    <row r="7" customFormat="false" ht="15" hidden="false" customHeight="false" outlineLevel="0" collapsed="false">
      <c r="A7" s="2" t="n">
        <v>122</v>
      </c>
      <c r="B7" s="2" t="s">
        <v>455</v>
      </c>
      <c r="C7" s="2" t="s">
        <v>39</v>
      </c>
      <c r="D7" s="2" t="n">
        <v>0.12</v>
      </c>
      <c r="E7" s="2" t="s">
        <v>446</v>
      </c>
      <c r="F7" s="2" t="s">
        <v>262</v>
      </c>
      <c r="G7" s="2" t="s">
        <v>447</v>
      </c>
      <c r="H7" s="2" t="n">
        <v>0.5</v>
      </c>
      <c r="I7" s="2" t="n">
        <v>7</v>
      </c>
      <c r="J7" s="2"/>
      <c r="K7" s="2"/>
      <c r="L7" s="2"/>
      <c r="M7" s="2" t="n">
        <v>0.12</v>
      </c>
      <c r="N7" s="2"/>
      <c r="O7" s="4" t="s">
        <v>71</v>
      </c>
      <c r="P7" s="4" t="s">
        <v>39</v>
      </c>
      <c r="Q7" s="2" t="n">
        <f aca="false">M7</f>
        <v>0.12</v>
      </c>
      <c r="R7" s="2" t="n">
        <f aca="false">MAX(0.1,ROUNDUP(ROUND(D7,6)*10,0)/10)</f>
        <v>0.2</v>
      </c>
      <c r="S7" s="2" t="n">
        <f aca="false">MAX(0.1,ROUNDUP(ROUND(Q7,6)*10,0)/10)</f>
        <v>0.2</v>
      </c>
      <c r="T7" s="2" t="str">
        <f aca="false">IF(R7&lt;&gt;S7,"yes","no")</f>
        <v>no</v>
      </c>
      <c r="U7" s="2"/>
      <c r="V7" s="2" t="n">
        <v>0.12</v>
      </c>
      <c r="W7" s="2" t="n">
        <f aca="false">MAX(0.1,ROUNDUP(ROUND(V7,6)*10,0)/10)</f>
        <v>0.2</v>
      </c>
      <c r="X7" s="2" t="str">
        <f aca="false">IF(W7&lt;&gt;S7,"yes","no")</f>
        <v>no</v>
      </c>
    </row>
    <row r="8" customFormat="false" ht="15" hidden="false" customHeight="false" outlineLevel="0" collapsed="false">
      <c r="A8" s="2" t="n">
        <v>160</v>
      </c>
      <c r="B8" s="2" t="s">
        <v>456</v>
      </c>
      <c r="C8" s="2" t="s">
        <v>39</v>
      </c>
      <c r="D8" s="2" t="n">
        <v>0.122</v>
      </c>
      <c r="E8" s="2" t="s">
        <v>446</v>
      </c>
      <c r="F8" s="2" t="s">
        <v>262</v>
      </c>
      <c r="G8" s="2" t="s">
        <v>447</v>
      </c>
      <c r="H8" s="2" t="n">
        <v>0.3</v>
      </c>
      <c r="I8" s="2" t="n">
        <v>2</v>
      </c>
      <c r="J8" s="2"/>
      <c r="K8" s="2"/>
      <c r="L8" s="2"/>
      <c r="M8" s="2" t="n">
        <v>0.122</v>
      </c>
      <c r="N8" s="2"/>
      <c r="O8" s="4" t="s">
        <v>71</v>
      </c>
      <c r="P8" s="4" t="s">
        <v>39</v>
      </c>
      <c r="Q8" s="2" t="n">
        <f aca="false">M8</f>
        <v>0.122</v>
      </c>
      <c r="R8" s="2" t="n">
        <f aca="false">MAX(0.1,ROUNDUP(ROUND(D8,6)*10,0)/10)</f>
        <v>0.2</v>
      </c>
      <c r="S8" s="2" t="n">
        <f aca="false">MAX(0.1,ROUNDUP(ROUND(Q8,6)*10,0)/10)</f>
        <v>0.2</v>
      </c>
      <c r="T8" s="2" t="str">
        <f aca="false">IF(R8&lt;&gt;S8,"yes","no")</f>
        <v>no</v>
      </c>
      <c r="U8" s="2"/>
      <c r="V8" s="2" t="n">
        <v>0.122</v>
      </c>
      <c r="W8" s="2" t="n">
        <f aca="false">MAX(0.1,ROUNDUP(ROUND(V8,6)*10,0)/10)</f>
        <v>0.2</v>
      </c>
      <c r="X8" s="2" t="str">
        <f aca="false">IF(W8&lt;&gt;S8,"yes","no")</f>
        <v>no</v>
      </c>
    </row>
    <row r="9" customFormat="false" ht="15" hidden="false" customHeight="false" outlineLevel="0" collapsed="false">
      <c r="A9" s="2" t="n">
        <v>137</v>
      </c>
      <c r="B9" s="2" t="s">
        <v>457</v>
      </c>
      <c r="C9" s="2" t="s">
        <v>39</v>
      </c>
      <c r="D9" s="2" t="n">
        <v>0.137</v>
      </c>
      <c r="E9" s="2" t="s">
        <v>446</v>
      </c>
      <c r="F9" s="2" t="s">
        <v>262</v>
      </c>
      <c r="G9" s="2" t="s">
        <v>447</v>
      </c>
      <c r="H9" s="2" t="n">
        <v>3.075</v>
      </c>
      <c r="I9" s="2" t="n">
        <v>1</v>
      </c>
      <c r="J9" s="2"/>
      <c r="K9" s="2"/>
      <c r="L9" s="2"/>
      <c r="M9" s="2" t="n">
        <v>0.137</v>
      </c>
      <c r="N9" s="2"/>
      <c r="O9" s="4" t="s">
        <v>71</v>
      </c>
      <c r="P9" s="4" t="s">
        <v>39</v>
      </c>
      <c r="Q9" s="2" t="n">
        <f aca="false">M9</f>
        <v>0.137</v>
      </c>
      <c r="R9" s="2" t="n">
        <f aca="false">MAX(0.1,ROUNDUP(ROUND(D9,6)*10,0)/10)</f>
        <v>0.2</v>
      </c>
      <c r="S9" s="2" t="n">
        <f aca="false">MAX(0.1,ROUNDUP(ROUND(Q9,6)*10,0)/10)</f>
        <v>0.2</v>
      </c>
      <c r="T9" s="2" t="str">
        <f aca="false">IF(R9&lt;&gt;S9,"yes","no")</f>
        <v>no</v>
      </c>
      <c r="U9" s="2"/>
      <c r="V9" s="2" t="n">
        <v>0.137</v>
      </c>
      <c r="W9" s="2" t="n">
        <f aca="false">MAX(0.1,ROUNDUP(ROUND(V9,6)*10,0)/10)</f>
        <v>0.2</v>
      </c>
      <c r="X9" s="2" t="str">
        <f aca="false">IF(W9&lt;&gt;S9,"yes","no")</f>
        <v>no</v>
      </c>
    </row>
    <row r="10" customFormat="false" ht="15" hidden="false" customHeight="false" outlineLevel="0" collapsed="false">
      <c r="A10" s="2" t="n">
        <v>165</v>
      </c>
      <c r="B10" s="2" t="s">
        <v>458</v>
      </c>
      <c r="C10" s="2" t="s">
        <v>450</v>
      </c>
      <c r="D10" s="2" t="n">
        <v>0.147</v>
      </c>
      <c r="E10" s="2" t="s">
        <v>459</v>
      </c>
      <c r="F10" s="2" t="s">
        <v>459</v>
      </c>
      <c r="G10" s="2" t="s">
        <v>447</v>
      </c>
      <c r="H10" s="2" t="n">
        <v>0.425</v>
      </c>
      <c r="I10" s="2" t="n">
        <v>8</v>
      </c>
      <c r="J10" s="2"/>
      <c r="K10" s="2"/>
      <c r="L10" s="2"/>
      <c r="M10" s="2" t="n">
        <v>0.147</v>
      </c>
      <c r="N10" s="2"/>
      <c r="O10" s="4" t="s">
        <v>71</v>
      </c>
      <c r="P10" s="4" t="s">
        <v>450</v>
      </c>
      <c r="Q10" s="2" t="n">
        <f aca="false">M10</f>
        <v>0.147</v>
      </c>
      <c r="R10" s="2" t="n">
        <f aca="false">MAX(0.1,ROUNDUP(ROUND(D10,6)*10,0)/10)</f>
        <v>0.2</v>
      </c>
      <c r="S10" s="2" t="n">
        <f aca="false">MAX(0.1,ROUNDUP(ROUND(Q10,6)*10,0)/10)</f>
        <v>0.2</v>
      </c>
      <c r="T10" s="2" t="str">
        <f aca="false">IF(R10&lt;&gt;S10,"yes","no")</f>
        <v>no</v>
      </c>
      <c r="U10" s="2"/>
      <c r="V10" s="2" t="n">
        <v>0.147</v>
      </c>
      <c r="W10" s="2" t="n">
        <f aca="false">MAX(0.1,ROUNDUP(ROUND(V10,6)*10,0)/10)</f>
        <v>0.2</v>
      </c>
      <c r="X10" s="2" t="str">
        <f aca="false">IF(W10&lt;&gt;S10,"yes","no")</f>
        <v>no</v>
      </c>
    </row>
    <row r="11" customFormat="false" ht="15" hidden="false" customHeight="false" outlineLevel="0" collapsed="false">
      <c r="A11" s="2" t="n">
        <v>212</v>
      </c>
      <c r="B11" s="2" t="s">
        <v>460</v>
      </c>
      <c r="C11" s="2" t="s">
        <v>39</v>
      </c>
      <c r="D11" s="2" t="n">
        <v>0.336</v>
      </c>
      <c r="E11" s="2" t="s">
        <v>446</v>
      </c>
      <c r="F11" s="2" t="s">
        <v>262</v>
      </c>
      <c r="G11" s="2" t="s">
        <v>447</v>
      </c>
      <c r="H11" s="2" t="n">
        <v>0.525</v>
      </c>
      <c r="I11" s="2" t="n">
        <v>4</v>
      </c>
      <c r="J11" s="2"/>
      <c r="K11" s="2"/>
      <c r="L11" s="2"/>
      <c r="M11" s="2" t="n">
        <v>0.336</v>
      </c>
      <c r="N11" s="2"/>
      <c r="O11" s="4" t="s">
        <v>71</v>
      </c>
      <c r="P11" s="4" t="s">
        <v>39</v>
      </c>
      <c r="Q11" s="2" t="n">
        <f aca="false">M11</f>
        <v>0.336</v>
      </c>
      <c r="R11" s="2" t="n">
        <f aca="false">MAX(0.1,ROUNDUP(ROUND(D11,6)*10,0)/10)</f>
        <v>0.4</v>
      </c>
      <c r="S11" s="2" t="n">
        <f aca="false">MAX(0.1,ROUNDUP(ROUND(Q11,6)*10,0)/10)</f>
        <v>0.4</v>
      </c>
      <c r="T11" s="2" t="str">
        <f aca="false">IF(R11&lt;&gt;S11,"yes","no")</f>
        <v>no</v>
      </c>
      <c r="U11" s="2"/>
      <c r="V11" s="2" t="n">
        <v>0.336</v>
      </c>
      <c r="W11" s="2" t="n">
        <f aca="false">MAX(0.1,ROUNDUP(ROUND(V11,6)*10,0)/10)</f>
        <v>0.4</v>
      </c>
      <c r="X11" s="2" t="str">
        <f aca="false">IF(W11&lt;&gt;S11,"yes","no")</f>
        <v>no</v>
      </c>
    </row>
    <row r="12" customFormat="false" ht="15" hidden="false" customHeight="false" outlineLevel="0" collapsed="false">
      <c r="A12" s="2" t="n">
        <v>180</v>
      </c>
      <c r="B12" s="2" t="s">
        <v>461</v>
      </c>
      <c r="C12" s="2" t="s">
        <v>450</v>
      </c>
      <c r="D12" s="2" t="n">
        <v>0.645</v>
      </c>
      <c r="E12" s="2" t="s">
        <v>462</v>
      </c>
      <c r="F12" s="2" t="s">
        <v>462</v>
      </c>
      <c r="G12" s="2" t="s">
        <v>447</v>
      </c>
      <c r="H12" s="2" t="n">
        <v>2</v>
      </c>
      <c r="I12" s="2" t="n">
        <v>8</v>
      </c>
      <c r="J12" s="2"/>
      <c r="K12" s="2"/>
      <c r="L12" s="2"/>
      <c r="M12" s="2" t="n">
        <v>0.645</v>
      </c>
      <c r="N12" s="2"/>
      <c r="O12" s="4" t="s">
        <v>71</v>
      </c>
      <c r="P12" s="4" t="s">
        <v>450</v>
      </c>
      <c r="Q12" s="2" t="n">
        <f aca="false">M12</f>
        <v>0.645</v>
      </c>
      <c r="R12" s="2" t="n">
        <f aca="false">MAX(0.1,ROUNDUP(ROUND(D12,6)*10,0)/10)</f>
        <v>0.7</v>
      </c>
      <c r="S12" s="2" t="n">
        <f aca="false">MAX(0.1,ROUNDUP(ROUND(Q12,6)*10,0)/10)</f>
        <v>0.7</v>
      </c>
      <c r="T12" s="2" t="str">
        <f aca="false">IF(R12&lt;&gt;S12,"yes","no")</f>
        <v>no</v>
      </c>
      <c r="U12" s="2"/>
      <c r="V12" s="2" t="n">
        <v>0.645</v>
      </c>
      <c r="W12" s="2" t="n">
        <f aca="false">MAX(0.1,ROUNDUP(ROUND(V12,6)*10,0)/10)</f>
        <v>0.7</v>
      </c>
      <c r="X12" s="2" t="str">
        <f aca="false">IF(W12&lt;&gt;S12,"yes","no")</f>
        <v>no</v>
      </c>
    </row>
    <row r="13" customFormat="false" ht="15" hidden="false" customHeight="false" outlineLevel="0" collapsed="false">
      <c r="A13" s="2" t="n">
        <v>213</v>
      </c>
      <c r="B13" s="2" t="s">
        <v>460</v>
      </c>
      <c r="C13" s="2" t="s">
        <v>39</v>
      </c>
      <c r="D13" s="2" t="n">
        <v>0.66</v>
      </c>
      <c r="E13" s="2" t="s">
        <v>446</v>
      </c>
      <c r="F13" s="2" t="s">
        <v>262</v>
      </c>
      <c r="G13" s="2" t="s">
        <v>463</v>
      </c>
      <c r="H13" s="2" t="n">
        <v>2.475</v>
      </c>
      <c r="I13" s="2" t="n">
        <v>100</v>
      </c>
      <c r="J13" s="2" t="n">
        <v>1100</v>
      </c>
      <c r="K13" s="2" t="n">
        <v>60</v>
      </c>
      <c r="L13" s="2" t="s">
        <v>464</v>
      </c>
      <c r="M13" s="2" t="n">
        <v>0.739</v>
      </c>
      <c r="N13" s="2" t="n">
        <v>0.1695</v>
      </c>
      <c r="O13" s="4" t="s">
        <v>71</v>
      </c>
      <c r="P13" s="4" t="s">
        <v>39</v>
      </c>
      <c r="Q13" s="2" t="n">
        <f aca="false">M13</f>
        <v>0.739</v>
      </c>
      <c r="R13" s="2" t="n">
        <f aca="false">MAX(0.1,ROUNDUP(ROUND(D13,6)*10,0)/10)</f>
        <v>0.7</v>
      </c>
      <c r="S13" s="2" t="n">
        <f aca="false">MAX(0.1,ROUNDUP(ROUND(Q13,6)*10,0)/10)</f>
        <v>0.8</v>
      </c>
      <c r="T13" s="2" t="str">
        <f aca="false">IF(R13&lt;&gt;S13,"yes","no")</f>
        <v>yes</v>
      </c>
      <c r="U13" s="2"/>
      <c r="V13" s="2" t="n">
        <v>0.62</v>
      </c>
      <c r="W13" s="2" t="n">
        <f aca="false">MAX(0.1,ROUNDUP(ROUND(V13,6)*10,0)/10)</f>
        <v>0.7</v>
      </c>
      <c r="X13" s="2" t="str">
        <f aca="false">IF(W13&lt;&gt;S13,"yes","no")</f>
        <v>yes</v>
      </c>
    </row>
    <row r="14" customFormat="false" ht="15" hidden="false" customHeight="false" outlineLevel="0" collapsed="false">
      <c r="A14" s="2" t="n">
        <v>125</v>
      </c>
      <c r="B14" s="2" t="s">
        <v>465</v>
      </c>
      <c r="C14" s="2" t="s">
        <v>450</v>
      </c>
      <c r="D14" s="2" t="n">
        <v>0.87</v>
      </c>
      <c r="E14" s="2" t="s">
        <v>459</v>
      </c>
      <c r="F14" s="2"/>
      <c r="G14" s="2" t="s">
        <v>463</v>
      </c>
      <c r="H14" s="2" t="n">
        <v>0.65</v>
      </c>
      <c r="I14" s="2" t="n">
        <v>80</v>
      </c>
      <c r="J14" s="2" t="n">
        <v>1340</v>
      </c>
      <c r="K14" s="2" t="n">
        <v>40</v>
      </c>
      <c r="L14" s="2" t="s">
        <v>466</v>
      </c>
      <c r="M14" s="2" t="n">
        <v>0.979</v>
      </c>
      <c r="N14" s="2" t="n">
        <v>0.173</v>
      </c>
      <c r="O14" s="4" t="s">
        <v>71</v>
      </c>
      <c r="P14" s="4" t="s">
        <v>450</v>
      </c>
      <c r="Q14" s="2" t="n">
        <f aca="false">M14</f>
        <v>0.979</v>
      </c>
      <c r="R14" s="2" t="n">
        <f aca="false">MAX(0.1,ROUNDUP(ROUND(D14,6)*10,0)/10)</f>
        <v>0.9</v>
      </c>
      <c r="S14" s="2" t="n">
        <f aca="false">MAX(0.1,ROUNDUP(ROUND(Q14,6)*10,0)/10)</f>
        <v>1</v>
      </c>
      <c r="T14" s="2" t="str">
        <f aca="false">IF(R14&lt;&gt;S14,"yes","no")</f>
        <v>yes</v>
      </c>
      <c r="U14" s="5" t="s">
        <v>467</v>
      </c>
      <c r="V14" s="2" t="n">
        <v>0.837</v>
      </c>
      <c r="W14" s="2" t="n">
        <f aca="false">MAX(0.1,ROUNDUP(ROUND(V14,6)*10,0)/10)</f>
        <v>0.9</v>
      </c>
      <c r="X14" s="2" t="str">
        <f aca="false">IF(W14&lt;&gt;S14,"yes","no")</f>
        <v>yes</v>
      </c>
    </row>
    <row r="15" customFormat="false" ht="15" hidden="false" customHeight="false" outlineLevel="0" collapsed="false">
      <c r="A15" s="2" t="n">
        <v>181</v>
      </c>
      <c r="B15" s="2" t="s">
        <v>461</v>
      </c>
      <c r="C15" s="2" t="s">
        <v>39</v>
      </c>
      <c r="D15" s="2" t="n">
        <v>0.99</v>
      </c>
      <c r="E15" s="2" t="s">
        <v>446</v>
      </c>
      <c r="F15" s="2" t="s">
        <v>262</v>
      </c>
      <c r="G15" s="2" t="s">
        <v>463</v>
      </c>
      <c r="H15" s="2" t="n">
        <v>2.4</v>
      </c>
      <c r="I15" s="2" t="n">
        <v>110</v>
      </c>
      <c r="J15" s="2" t="n">
        <v>1420</v>
      </c>
      <c r="K15" s="2" t="n">
        <v>60</v>
      </c>
      <c r="L15" s="2" t="s">
        <v>464</v>
      </c>
      <c r="M15" s="2" t="n">
        <v>1.061</v>
      </c>
      <c r="N15" s="2" t="n">
        <v>0.1845</v>
      </c>
      <c r="O15" s="4" t="s">
        <v>71</v>
      </c>
      <c r="P15" s="4" t="s">
        <v>39</v>
      </c>
      <c r="Q15" s="2" t="n">
        <f aca="false">M15</f>
        <v>1.061</v>
      </c>
      <c r="R15" s="2" t="n">
        <f aca="false">MAX(0.1,ROUNDUP(ROUND(D15,6)*10,0)/10)</f>
        <v>1</v>
      </c>
      <c r="S15" s="2" t="n">
        <f aca="false">MAX(0.1,ROUNDUP(ROUND(Q15,6)*10,0)/10)</f>
        <v>1.1</v>
      </c>
      <c r="T15" s="2" t="str">
        <f aca="false">IF(R15&lt;&gt;S15,"yes","no")</f>
        <v>yes</v>
      </c>
      <c r="U15" s="2"/>
      <c r="V15" s="2" t="n">
        <v>0.92</v>
      </c>
      <c r="W15" s="2" t="n">
        <f aca="false">MAX(0.1,ROUNDUP(ROUND(V15,6)*10,0)/10)</f>
        <v>1</v>
      </c>
      <c r="X15" s="2" t="str">
        <f aca="false">IF(W15&lt;&gt;S15,"yes","no")</f>
        <v>yes</v>
      </c>
    </row>
    <row r="16" customFormat="false" ht="15" hidden="false" customHeight="false" outlineLevel="0" collapsed="false">
      <c r="A16" s="2" t="n">
        <v>197</v>
      </c>
      <c r="B16" s="2" t="s">
        <v>454</v>
      </c>
      <c r="C16" s="2" t="s">
        <v>39</v>
      </c>
      <c r="D16" s="2" t="n">
        <v>1.035</v>
      </c>
      <c r="E16" s="2" t="s">
        <v>446</v>
      </c>
      <c r="F16" s="2" t="s">
        <v>262</v>
      </c>
      <c r="G16" s="2" t="s">
        <v>447</v>
      </c>
      <c r="H16" s="2" t="n">
        <v>0.95</v>
      </c>
      <c r="I16" s="2" t="n">
        <v>8</v>
      </c>
      <c r="J16" s="2"/>
      <c r="K16" s="2"/>
      <c r="L16" s="2"/>
      <c r="M16" s="2" t="n">
        <v>1.035</v>
      </c>
      <c r="N16" s="2"/>
      <c r="O16" s="4" t="s">
        <v>71</v>
      </c>
      <c r="P16" s="4" t="s">
        <v>39</v>
      </c>
      <c r="Q16" s="2" t="n">
        <f aca="false">M16</f>
        <v>1.035</v>
      </c>
      <c r="R16" s="2" t="n">
        <f aca="false">MAX(0.1,ROUNDUP(ROUND(D16,6)*10,0)/10)</f>
        <v>1.1</v>
      </c>
      <c r="S16" s="2" t="n">
        <f aca="false">MAX(0.1,ROUNDUP(ROUND(Q16,6)*10,0)/10)</f>
        <v>1.1</v>
      </c>
      <c r="T16" s="2" t="str">
        <f aca="false">IF(R16&lt;&gt;S16,"yes","no")</f>
        <v>no</v>
      </c>
      <c r="U16" s="2"/>
      <c r="V16" s="2" t="n">
        <v>1.035</v>
      </c>
      <c r="W16" s="2" t="n">
        <f aca="false">MAX(0.1,ROUNDUP(ROUND(V16,6)*10,0)/10)</f>
        <v>1.1</v>
      </c>
      <c r="X16" s="2" t="str">
        <f aca="false">IF(W16&lt;&gt;S16,"yes","no")</f>
        <v>no</v>
      </c>
    </row>
    <row r="17" customFormat="false" ht="15" hidden="false" customHeight="false" outlineLevel="0" collapsed="false">
      <c r="A17" s="2" t="n">
        <v>128</v>
      </c>
      <c r="B17" s="2" t="s">
        <v>468</v>
      </c>
      <c r="C17" s="2" t="s">
        <v>450</v>
      </c>
      <c r="D17" s="2" t="n">
        <v>1.084</v>
      </c>
      <c r="E17" s="2" t="s">
        <v>459</v>
      </c>
      <c r="F17" s="2" t="s">
        <v>459</v>
      </c>
      <c r="G17" s="2" t="s">
        <v>447</v>
      </c>
      <c r="H17" s="2" t="n">
        <v>0.45</v>
      </c>
      <c r="I17" s="2" t="n">
        <v>14</v>
      </c>
      <c r="J17" s="2"/>
      <c r="K17" s="2"/>
      <c r="L17" s="2"/>
      <c r="M17" s="2" t="n">
        <v>1.084</v>
      </c>
      <c r="N17" s="2"/>
      <c r="O17" s="4" t="s">
        <v>71</v>
      </c>
      <c r="P17" s="4" t="s">
        <v>450</v>
      </c>
      <c r="Q17" s="2" t="n">
        <f aca="false">M17</f>
        <v>1.084</v>
      </c>
      <c r="R17" s="2" t="n">
        <f aca="false">MAX(0.1,ROUNDUP(ROUND(D17,6)*10,0)/10)</f>
        <v>1.1</v>
      </c>
      <c r="S17" s="2" t="n">
        <f aca="false">MAX(0.1,ROUNDUP(ROUND(Q17,6)*10,0)/10)</f>
        <v>1.1</v>
      </c>
      <c r="T17" s="2" t="str">
        <f aca="false">IF(R17&lt;&gt;S17,"yes","no")</f>
        <v>no</v>
      </c>
      <c r="U17" s="2"/>
      <c r="V17" s="2" t="n">
        <v>1.084</v>
      </c>
      <c r="W17" s="2" t="n">
        <f aca="false">MAX(0.1,ROUNDUP(ROUND(V17,6)*10,0)/10)</f>
        <v>1.1</v>
      </c>
      <c r="X17" s="2" t="str">
        <f aca="false">IF(W17&lt;&gt;S17,"yes","no")</f>
        <v>no</v>
      </c>
    </row>
    <row r="18" customFormat="false" ht="15" hidden="false" customHeight="false" outlineLevel="0" collapsed="false">
      <c r="A18" s="2" t="n">
        <v>188</v>
      </c>
      <c r="B18" s="2" t="s">
        <v>449</v>
      </c>
      <c r="C18" s="2" t="s">
        <v>39</v>
      </c>
      <c r="D18" s="2" t="n">
        <v>1.105</v>
      </c>
      <c r="E18" s="2" t="s">
        <v>446</v>
      </c>
      <c r="F18" s="2" t="s">
        <v>262</v>
      </c>
      <c r="G18" s="2" t="s">
        <v>447</v>
      </c>
      <c r="H18" s="2" t="n">
        <v>0.875</v>
      </c>
      <c r="I18" s="2" t="n">
        <v>20</v>
      </c>
      <c r="J18" s="2"/>
      <c r="K18" s="2"/>
      <c r="L18" s="2"/>
      <c r="M18" s="2" t="n">
        <v>1.105</v>
      </c>
      <c r="N18" s="2"/>
      <c r="O18" s="4" t="s">
        <v>71</v>
      </c>
      <c r="P18" s="4" t="s">
        <v>39</v>
      </c>
      <c r="Q18" s="2" t="n">
        <f aca="false">M18</f>
        <v>1.105</v>
      </c>
      <c r="R18" s="2" t="n">
        <f aca="false">MAX(0.1,ROUNDUP(ROUND(D18,6)*10,0)/10)</f>
        <v>1.2</v>
      </c>
      <c r="S18" s="2" t="n">
        <f aca="false">MAX(0.1,ROUNDUP(ROUND(Q18,6)*10,0)/10)</f>
        <v>1.2</v>
      </c>
      <c r="T18" s="2" t="str">
        <f aca="false">IF(R18&lt;&gt;S18,"yes","no")</f>
        <v>no</v>
      </c>
      <c r="U18" s="2"/>
      <c r="V18" s="2" t="n">
        <v>1.105</v>
      </c>
      <c r="W18" s="2" t="n">
        <f aca="false">MAX(0.1,ROUNDUP(ROUND(V18,6)*10,0)/10)</f>
        <v>1.2</v>
      </c>
      <c r="X18" s="2" t="str">
        <f aca="false">IF(W18&lt;&gt;S18,"yes","no")</f>
        <v>no</v>
      </c>
    </row>
    <row r="19" customFormat="false" ht="15" hidden="false" customHeight="false" outlineLevel="0" collapsed="false">
      <c r="A19" s="2" t="n">
        <v>129</v>
      </c>
      <c r="B19" s="2" t="s">
        <v>468</v>
      </c>
      <c r="C19" s="2" t="s">
        <v>450</v>
      </c>
      <c r="D19" s="2" t="n">
        <v>1.191</v>
      </c>
      <c r="E19" s="2" t="s">
        <v>459</v>
      </c>
      <c r="F19" s="2" t="s">
        <v>459</v>
      </c>
      <c r="G19" s="2" t="s">
        <v>447</v>
      </c>
      <c r="H19" s="2" t="n">
        <v>1.15</v>
      </c>
      <c r="I19" s="2" t="n">
        <v>14</v>
      </c>
      <c r="J19" s="2"/>
      <c r="K19" s="2"/>
      <c r="L19" s="2"/>
      <c r="M19" s="2" t="n">
        <v>1.191</v>
      </c>
      <c r="N19" s="2"/>
      <c r="O19" s="4" t="s">
        <v>71</v>
      </c>
      <c r="P19" s="4" t="s">
        <v>450</v>
      </c>
      <c r="Q19" s="2" t="n">
        <f aca="false">M19</f>
        <v>1.191</v>
      </c>
      <c r="R19" s="2" t="n">
        <f aca="false">MAX(0.1,ROUNDUP(ROUND(D19,6)*10,0)/10)</f>
        <v>1.2</v>
      </c>
      <c r="S19" s="2" t="n">
        <f aca="false">MAX(0.1,ROUNDUP(ROUND(Q19,6)*10,0)/10)</f>
        <v>1.2</v>
      </c>
      <c r="T19" s="2" t="str">
        <f aca="false">IF(R19&lt;&gt;S19,"yes","no")</f>
        <v>no</v>
      </c>
      <c r="U19" s="2"/>
      <c r="V19" s="2" t="n">
        <v>1.191</v>
      </c>
      <c r="W19" s="2" t="n">
        <f aca="false">MAX(0.1,ROUNDUP(ROUND(V19,6)*10,0)/10)</f>
        <v>1.2</v>
      </c>
      <c r="X19" s="2" t="str">
        <f aca="false">IF(W19&lt;&gt;S19,"yes","no")</f>
        <v>no</v>
      </c>
    </row>
    <row r="20" customFormat="false" ht="15" hidden="false" customHeight="false" outlineLevel="0" collapsed="false">
      <c r="A20" s="2" t="n">
        <v>161</v>
      </c>
      <c r="B20" s="2" t="s">
        <v>456</v>
      </c>
      <c r="C20" s="2" t="s">
        <v>39</v>
      </c>
      <c r="D20" s="2" t="n">
        <v>1.452</v>
      </c>
      <c r="E20" s="2" t="s">
        <v>446</v>
      </c>
      <c r="F20" s="2" t="s">
        <v>262</v>
      </c>
      <c r="G20" s="2" t="s">
        <v>447</v>
      </c>
      <c r="H20" s="2" t="n">
        <v>0.9</v>
      </c>
      <c r="I20" s="2" t="n">
        <v>41</v>
      </c>
      <c r="J20" s="2"/>
      <c r="K20" s="2"/>
      <c r="L20" s="2"/>
      <c r="M20" s="2" t="n">
        <v>1.452</v>
      </c>
      <c r="N20" s="2"/>
      <c r="O20" s="4" t="s">
        <v>71</v>
      </c>
      <c r="P20" s="4" t="s">
        <v>39</v>
      </c>
      <c r="Q20" s="2" t="n">
        <f aca="false">M20</f>
        <v>1.452</v>
      </c>
      <c r="R20" s="2" t="n">
        <f aca="false">MAX(0.1,ROUNDUP(ROUND(D20,6)*10,0)/10)</f>
        <v>1.5</v>
      </c>
      <c r="S20" s="2" t="n">
        <f aca="false">MAX(0.1,ROUNDUP(ROUND(Q20,6)*10,0)/10)</f>
        <v>1.5</v>
      </c>
      <c r="T20" s="2" t="str">
        <f aca="false">IF(R20&lt;&gt;S20,"yes","no")</f>
        <v>no</v>
      </c>
      <c r="U20" s="2"/>
      <c r="V20" s="2" t="n">
        <v>1.452</v>
      </c>
      <c r="W20" s="2" t="n">
        <f aca="false">MAX(0.1,ROUNDUP(ROUND(V20,6)*10,0)/10)</f>
        <v>1.5</v>
      </c>
      <c r="X20" s="2" t="str">
        <f aca="false">IF(W20&lt;&gt;S20,"yes","no")</f>
        <v>no</v>
      </c>
    </row>
    <row r="21" customFormat="false" ht="15" hidden="false" customHeight="false" outlineLevel="0" collapsed="false">
      <c r="A21" s="2" t="n">
        <v>131</v>
      </c>
      <c r="B21" s="2" t="s">
        <v>469</v>
      </c>
      <c r="C21" s="2" t="s">
        <v>39</v>
      </c>
      <c r="D21" s="2" t="n">
        <v>1.464</v>
      </c>
      <c r="E21" s="2" t="s">
        <v>446</v>
      </c>
      <c r="F21" s="2" t="s">
        <v>262</v>
      </c>
      <c r="G21" s="2" t="s">
        <v>447</v>
      </c>
      <c r="H21" s="2" t="n">
        <v>0.1</v>
      </c>
      <c r="I21" s="2" t="n">
        <v>14</v>
      </c>
      <c r="J21" s="2"/>
      <c r="K21" s="2"/>
      <c r="L21" s="2"/>
      <c r="M21" s="2" t="n">
        <v>1.464</v>
      </c>
      <c r="N21" s="2"/>
      <c r="O21" s="4" t="s">
        <v>71</v>
      </c>
      <c r="P21" s="4" t="s">
        <v>39</v>
      </c>
      <c r="Q21" s="2" t="n">
        <f aca="false">M21</f>
        <v>1.464</v>
      </c>
      <c r="R21" s="2" t="n">
        <f aca="false">MAX(0.1,ROUNDUP(ROUND(D21,6)*10,0)/10)</f>
        <v>1.5</v>
      </c>
      <c r="S21" s="2" t="n">
        <f aca="false">MAX(0.1,ROUNDUP(ROUND(Q21,6)*10,0)/10)</f>
        <v>1.5</v>
      </c>
      <c r="T21" s="2" t="str">
        <f aca="false">IF(R21&lt;&gt;S21,"yes","no")</f>
        <v>no</v>
      </c>
      <c r="U21" s="2"/>
      <c r="V21" s="2" t="n">
        <v>1.464</v>
      </c>
      <c r="W21" s="2" t="n">
        <f aca="false">MAX(0.1,ROUNDUP(ROUND(V21,6)*10,0)/10)</f>
        <v>1.5</v>
      </c>
      <c r="X21" s="2" t="str">
        <f aca="false">IF(W21&lt;&gt;S21,"yes","no")</f>
        <v>no</v>
      </c>
    </row>
    <row r="22" customFormat="false" ht="15" hidden="false" customHeight="false" outlineLevel="0" collapsed="false">
      <c r="A22" s="2" t="n">
        <v>130</v>
      </c>
      <c r="B22" s="2" t="s">
        <v>468</v>
      </c>
      <c r="C22" s="2" t="s">
        <v>39</v>
      </c>
      <c r="D22" s="2" t="n">
        <v>1.47</v>
      </c>
      <c r="E22" s="2" t="s">
        <v>446</v>
      </c>
      <c r="F22" s="2" t="s">
        <v>470</v>
      </c>
      <c r="G22" s="2" t="s">
        <v>463</v>
      </c>
      <c r="H22" s="2" t="n">
        <v>1.85</v>
      </c>
      <c r="I22" s="2" t="n">
        <v>135</v>
      </c>
      <c r="J22" s="2" t="n">
        <v>1915</v>
      </c>
      <c r="K22" s="2" t="n">
        <v>67.5</v>
      </c>
      <c r="L22" s="2" t="s">
        <v>466</v>
      </c>
      <c r="M22" s="2" t="n">
        <v>1.576</v>
      </c>
      <c r="N22" s="2" t="n">
        <v>0.2145</v>
      </c>
      <c r="O22" s="4" t="s">
        <v>71</v>
      </c>
      <c r="P22" s="4" t="s">
        <v>39</v>
      </c>
      <c r="Q22" s="2" t="n">
        <f aca="false">M22</f>
        <v>1.576</v>
      </c>
      <c r="R22" s="2" t="n">
        <f aca="false">MAX(0.1,ROUNDUP(ROUND(D22,6)*10,0)/10)</f>
        <v>1.5</v>
      </c>
      <c r="S22" s="2" t="n">
        <f aca="false">MAX(0.1,ROUNDUP(ROUND(Q22,6)*10,0)/10)</f>
        <v>1.6</v>
      </c>
      <c r="T22" s="2" t="str">
        <f aca="false">IF(R22&lt;&gt;S22,"yes","no")</f>
        <v>yes</v>
      </c>
      <c r="U22" s="5" t="s">
        <v>467</v>
      </c>
      <c r="V22" s="2" t="n">
        <v>1.432</v>
      </c>
      <c r="W22" s="2" t="n">
        <f aca="false">MAX(0.1,ROUNDUP(ROUND(V22,6)*10,0)/10)</f>
        <v>1.5</v>
      </c>
      <c r="X22" s="2" t="str">
        <f aca="false">IF(W22&lt;&gt;S22,"yes","no")</f>
        <v>yes</v>
      </c>
    </row>
    <row r="23" customFormat="false" ht="15" hidden="false" customHeight="false" outlineLevel="0" collapsed="false">
      <c r="A23" s="2" t="n">
        <v>203</v>
      </c>
      <c r="B23" s="2" t="s">
        <v>471</v>
      </c>
      <c r="C23" s="2" t="s">
        <v>39</v>
      </c>
      <c r="D23" s="2" t="n">
        <v>1.67</v>
      </c>
      <c r="E23" s="2" t="s">
        <v>446</v>
      </c>
      <c r="F23" s="2" t="s">
        <v>262</v>
      </c>
      <c r="G23" s="2" t="s">
        <v>447</v>
      </c>
      <c r="H23" s="2" t="n">
        <v>0.725</v>
      </c>
      <c r="I23" s="2" t="n">
        <v>13</v>
      </c>
      <c r="J23" s="2"/>
      <c r="K23" s="2"/>
      <c r="L23" s="2"/>
      <c r="M23" s="2" t="n">
        <v>1.67</v>
      </c>
      <c r="N23" s="2"/>
      <c r="O23" s="4" t="s">
        <v>71</v>
      </c>
      <c r="P23" s="4" t="s">
        <v>39</v>
      </c>
      <c r="Q23" s="2" t="n">
        <f aca="false">M23</f>
        <v>1.67</v>
      </c>
      <c r="R23" s="2" t="n">
        <f aca="false">MAX(0.1,ROUNDUP(ROUND(D23,6)*10,0)/10)</f>
        <v>1.7</v>
      </c>
      <c r="S23" s="2" t="n">
        <f aca="false">MAX(0.1,ROUNDUP(ROUND(Q23,6)*10,0)/10)</f>
        <v>1.7</v>
      </c>
      <c r="T23" s="2" t="str">
        <f aca="false">IF(R23&lt;&gt;S23,"yes","no")</f>
        <v>no</v>
      </c>
      <c r="U23" s="2"/>
      <c r="V23" s="2" t="n">
        <v>1.67</v>
      </c>
      <c r="W23" s="2" t="n">
        <f aca="false">MAX(0.1,ROUNDUP(ROUND(V23,6)*10,0)/10)</f>
        <v>1.7</v>
      </c>
      <c r="X23" s="2" t="str">
        <f aca="false">IF(W23&lt;&gt;S23,"yes","no")</f>
        <v>no</v>
      </c>
    </row>
    <row r="24" customFormat="false" ht="15" hidden="false" customHeight="false" outlineLevel="0" collapsed="false">
      <c r="A24" s="2" t="n">
        <v>149</v>
      </c>
      <c r="B24" s="2" t="s">
        <v>472</v>
      </c>
      <c r="C24" s="2" t="s">
        <v>450</v>
      </c>
      <c r="D24" s="2" t="n">
        <v>1.797</v>
      </c>
      <c r="E24" s="2" t="s">
        <v>459</v>
      </c>
      <c r="F24" s="2" t="s">
        <v>459</v>
      </c>
      <c r="G24" s="2" t="s">
        <v>447</v>
      </c>
      <c r="H24" s="2" t="n">
        <v>0.475</v>
      </c>
      <c r="I24" s="2" t="n">
        <v>16</v>
      </c>
      <c r="J24" s="2"/>
      <c r="K24" s="2"/>
      <c r="L24" s="2"/>
      <c r="M24" s="2" t="n">
        <v>1.797</v>
      </c>
      <c r="N24" s="2"/>
      <c r="O24" s="4" t="s">
        <v>71</v>
      </c>
      <c r="P24" s="4" t="s">
        <v>450</v>
      </c>
      <c r="Q24" s="2" t="n">
        <f aca="false">M24</f>
        <v>1.797</v>
      </c>
      <c r="R24" s="2" t="n">
        <f aca="false">MAX(0.1,ROUNDUP(ROUND(D24,6)*10,0)/10)</f>
        <v>1.8</v>
      </c>
      <c r="S24" s="2" t="n">
        <f aca="false">MAX(0.1,ROUNDUP(ROUND(Q24,6)*10,0)/10)</f>
        <v>1.8</v>
      </c>
      <c r="T24" s="2" t="str">
        <f aca="false">IF(R24&lt;&gt;S24,"yes","no")</f>
        <v>no</v>
      </c>
      <c r="U24" s="2"/>
      <c r="V24" s="2" t="n">
        <v>1.797</v>
      </c>
      <c r="W24" s="2" t="n">
        <f aca="false">MAX(0.1,ROUNDUP(ROUND(V24,6)*10,0)/10)</f>
        <v>1.8</v>
      </c>
      <c r="X24" s="2" t="str">
        <f aca="false">IF(W24&lt;&gt;S24,"yes","no")</f>
        <v>no</v>
      </c>
    </row>
    <row r="25" customFormat="false" ht="15" hidden="false" customHeight="false" outlineLevel="0" collapsed="false">
      <c r="A25" s="2" t="n">
        <v>171</v>
      </c>
      <c r="B25" s="2" t="s">
        <v>473</v>
      </c>
      <c r="C25" s="2" t="s">
        <v>450</v>
      </c>
      <c r="D25" s="2" t="n">
        <v>1.968</v>
      </c>
      <c r="E25" s="2" t="s">
        <v>462</v>
      </c>
      <c r="F25" s="2" t="s">
        <v>462</v>
      </c>
      <c r="G25" s="2" t="s">
        <v>447</v>
      </c>
      <c r="H25" s="2" t="n">
        <v>0.75</v>
      </c>
      <c r="I25" s="2" t="n">
        <v>22</v>
      </c>
      <c r="J25" s="2"/>
      <c r="K25" s="2"/>
      <c r="L25" s="2"/>
      <c r="M25" s="2" t="n">
        <v>1.968</v>
      </c>
      <c r="N25" s="2"/>
      <c r="O25" s="4" t="s">
        <v>71</v>
      </c>
      <c r="P25" s="4" t="s">
        <v>450</v>
      </c>
      <c r="Q25" s="2" t="n">
        <f aca="false">M25</f>
        <v>1.968</v>
      </c>
      <c r="R25" s="2" t="n">
        <f aca="false">MAX(0.1,ROUNDUP(ROUND(D25,6)*10,0)/10)</f>
        <v>2</v>
      </c>
      <c r="S25" s="2" t="n">
        <f aca="false">MAX(0.1,ROUNDUP(ROUND(Q25,6)*10,0)/10)</f>
        <v>2</v>
      </c>
      <c r="T25" s="2" t="str">
        <f aca="false">IF(R25&lt;&gt;S25,"yes","no")</f>
        <v>no</v>
      </c>
      <c r="U25" s="2"/>
      <c r="V25" s="2" t="n">
        <v>1.968</v>
      </c>
      <c r="W25" s="2" t="n">
        <f aca="false">MAX(0.1,ROUNDUP(ROUND(V25,6)*10,0)/10)</f>
        <v>2</v>
      </c>
      <c r="X25" s="2" t="str">
        <f aca="false">IF(W25&lt;&gt;S25,"yes","no")</f>
        <v>no</v>
      </c>
    </row>
    <row r="26" customFormat="false" ht="15" hidden="false" customHeight="false" outlineLevel="0" collapsed="false">
      <c r="A26" s="2" t="n">
        <v>142</v>
      </c>
      <c r="B26" s="2" t="s">
        <v>474</v>
      </c>
      <c r="C26" s="2" t="s">
        <v>39</v>
      </c>
      <c r="D26" s="2" t="n">
        <v>1.99</v>
      </c>
      <c r="E26" s="2" t="s">
        <v>446</v>
      </c>
      <c r="F26" s="2" t="s">
        <v>262</v>
      </c>
      <c r="G26" s="2" t="s">
        <v>447</v>
      </c>
      <c r="H26" s="2" t="n">
        <v>0.65</v>
      </c>
      <c r="I26" s="2" t="n">
        <v>18</v>
      </c>
      <c r="J26" s="2"/>
      <c r="K26" s="2"/>
      <c r="L26" s="2"/>
      <c r="M26" s="2" t="n">
        <v>1.99</v>
      </c>
      <c r="N26" s="2"/>
      <c r="O26" s="4" t="s">
        <v>71</v>
      </c>
      <c r="P26" s="4" t="s">
        <v>39</v>
      </c>
      <c r="Q26" s="2" t="n">
        <f aca="false">M26</f>
        <v>1.99</v>
      </c>
      <c r="R26" s="2" t="n">
        <f aca="false">MAX(0.1,ROUNDUP(ROUND(D26,6)*10,0)/10)</f>
        <v>2</v>
      </c>
      <c r="S26" s="2" t="n">
        <f aca="false">MAX(0.1,ROUNDUP(ROUND(Q26,6)*10,0)/10)</f>
        <v>2</v>
      </c>
      <c r="T26" s="2" t="str">
        <f aca="false">IF(R26&lt;&gt;S26,"yes","no")</f>
        <v>no</v>
      </c>
      <c r="U26" s="2"/>
      <c r="V26" s="2" t="n">
        <v>1.99</v>
      </c>
      <c r="W26" s="2" t="n">
        <f aca="false">MAX(0.1,ROUNDUP(ROUND(V26,6)*10,0)/10)</f>
        <v>2</v>
      </c>
      <c r="X26" s="2" t="str">
        <f aca="false">IF(W26&lt;&gt;S26,"yes","no")</f>
        <v>no</v>
      </c>
    </row>
    <row r="27" customFormat="false" ht="15" hidden="false" customHeight="false" outlineLevel="0" collapsed="false">
      <c r="A27" s="2" t="n">
        <v>123</v>
      </c>
      <c r="B27" s="2" t="s">
        <v>455</v>
      </c>
      <c r="C27" s="2" t="s">
        <v>39</v>
      </c>
      <c r="D27" s="2" t="n">
        <v>2.72</v>
      </c>
      <c r="E27" s="2" t="s">
        <v>446</v>
      </c>
      <c r="F27" s="2" t="s">
        <v>470</v>
      </c>
      <c r="G27" s="2" t="s">
        <v>463</v>
      </c>
      <c r="H27" s="2" t="n">
        <v>0.85</v>
      </c>
      <c r="I27" s="2" t="n">
        <v>170</v>
      </c>
      <c r="J27" s="2" t="n">
        <v>2978</v>
      </c>
      <c r="K27" s="2" t="n">
        <v>85</v>
      </c>
      <c r="L27" s="2" t="s">
        <v>466</v>
      </c>
      <c r="M27" s="2" t="n">
        <v>2.879</v>
      </c>
      <c r="N27" s="2" t="n">
        <v>0.2515</v>
      </c>
      <c r="O27" s="4" t="s">
        <v>71</v>
      </c>
      <c r="P27" s="4" t="s">
        <v>39</v>
      </c>
      <c r="Q27" s="2" t="n">
        <f aca="false">M27</f>
        <v>2.879</v>
      </c>
      <c r="R27" s="2" t="n">
        <f aca="false">MAX(0.1,ROUNDUP(ROUND(D27,6)*10,0)/10)</f>
        <v>2.8</v>
      </c>
      <c r="S27" s="2" t="n">
        <f aca="false">MAX(0.1,ROUNDUP(ROUND(Q27,6)*10,0)/10)</f>
        <v>2.9</v>
      </c>
      <c r="T27" s="2" t="str">
        <f aca="false">IF(R27&lt;&gt;S27,"yes","no")</f>
        <v>yes</v>
      </c>
      <c r="U27" s="5" t="s">
        <v>467</v>
      </c>
      <c r="V27" s="2" t="n">
        <v>2.716</v>
      </c>
      <c r="W27" s="2" t="n">
        <f aca="false">MAX(0.1,ROUNDUP(ROUND(V27,6)*10,0)/10)</f>
        <v>2.8</v>
      </c>
      <c r="X27" s="2" t="str">
        <f aca="false">IF(W27&lt;&gt;S27,"yes","no")</f>
        <v>yes</v>
      </c>
    </row>
    <row r="28" customFormat="false" ht="15" hidden="false" customHeight="false" outlineLevel="0" collapsed="false">
      <c r="A28" s="2" t="n">
        <v>107</v>
      </c>
      <c r="B28" s="2" t="s">
        <v>452</v>
      </c>
      <c r="C28" s="2" t="s">
        <v>39</v>
      </c>
      <c r="D28" s="2" t="n">
        <v>2.835</v>
      </c>
      <c r="E28" s="2" t="s">
        <v>446</v>
      </c>
      <c r="F28" s="2" t="s">
        <v>470</v>
      </c>
      <c r="G28" s="2" t="s">
        <v>463</v>
      </c>
      <c r="H28" s="2" t="n">
        <v>0.875</v>
      </c>
      <c r="I28" s="2" t="n">
        <v>135</v>
      </c>
      <c r="J28" s="2" t="n">
        <v>3034</v>
      </c>
      <c r="K28" s="2" t="n">
        <v>67.5</v>
      </c>
      <c r="L28" s="2" t="s">
        <v>466</v>
      </c>
      <c r="M28" s="2" t="n">
        <v>2.94</v>
      </c>
      <c r="N28" s="2" t="n">
        <v>0.2185</v>
      </c>
      <c r="O28" s="4" t="s">
        <v>71</v>
      </c>
      <c r="P28" s="4" t="s">
        <v>39</v>
      </c>
      <c r="Q28" s="2" t="n">
        <f aca="false">M28</f>
        <v>2.94</v>
      </c>
      <c r="R28" s="2" t="n">
        <f aca="false">MAX(0.1,ROUNDUP(ROUND(D28,6)*10,0)/10)</f>
        <v>2.9</v>
      </c>
      <c r="S28" s="2" t="n">
        <f aca="false">MAX(0.1,ROUNDUP(ROUND(Q28,6)*10,0)/10)</f>
        <v>3</v>
      </c>
      <c r="T28" s="2" t="str">
        <f aca="false">IF(R28&lt;&gt;S28,"yes","no")</f>
        <v>yes</v>
      </c>
      <c r="U28" s="5" t="s">
        <v>467</v>
      </c>
      <c r="V28" s="2" t="n">
        <v>2.789</v>
      </c>
      <c r="W28" s="2" t="n">
        <f aca="false">MAX(0.1,ROUNDUP(ROUND(V28,6)*10,0)/10)</f>
        <v>2.8</v>
      </c>
      <c r="X28" s="2" t="str">
        <f aca="false">IF(W28&lt;&gt;S28,"yes","no")</f>
        <v>yes</v>
      </c>
    </row>
    <row r="29" customFormat="false" ht="15" hidden="false" customHeight="false" outlineLevel="0" collapsed="false">
      <c r="A29" s="2" t="n">
        <v>204</v>
      </c>
      <c r="B29" s="2" t="s">
        <v>471</v>
      </c>
      <c r="C29" s="2" t="s">
        <v>39</v>
      </c>
      <c r="D29" s="2" t="n">
        <v>2.975</v>
      </c>
      <c r="E29" s="2" t="s">
        <v>446</v>
      </c>
      <c r="F29" s="2" t="s">
        <v>262</v>
      </c>
      <c r="G29" s="2" t="s">
        <v>463</v>
      </c>
      <c r="H29" s="2" t="n">
        <v>2.075</v>
      </c>
      <c r="I29" s="2" t="n">
        <v>195</v>
      </c>
      <c r="J29" s="2" t="n">
        <v>3170</v>
      </c>
      <c r="K29" s="2" t="n">
        <v>70</v>
      </c>
      <c r="L29" s="2" t="s">
        <v>464</v>
      </c>
      <c r="M29" s="2" t="n">
        <v>3.109</v>
      </c>
      <c r="N29" s="2" t="n">
        <v>0.2355</v>
      </c>
      <c r="O29" s="4" t="s">
        <v>71</v>
      </c>
      <c r="P29" s="4" t="s">
        <v>39</v>
      </c>
      <c r="Q29" s="2" t="n">
        <f aca="false">M29</f>
        <v>3.109</v>
      </c>
      <c r="R29" s="2" t="n">
        <f aca="false">MAX(0.1,ROUNDUP(ROUND(D29,6)*10,0)/10)</f>
        <v>3</v>
      </c>
      <c r="S29" s="2" t="n">
        <f aca="false">MAX(0.1,ROUNDUP(ROUND(Q29,6)*10,0)/10)</f>
        <v>3.2</v>
      </c>
      <c r="T29" s="2" t="str">
        <f aca="false">IF(R29&lt;&gt;S29,"yes","no")</f>
        <v>yes</v>
      </c>
      <c r="U29" s="2"/>
      <c r="V29" s="2" t="n">
        <v>2.947</v>
      </c>
      <c r="W29" s="2" t="n">
        <f aca="false">MAX(0.1,ROUNDUP(ROUND(V29,6)*10,0)/10)</f>
        <v>3</v>
      </c>
      <c r="X29" s="2" t="str">
        <f aca="false">IF(W29&lt;&gt;S29,"yes","no")</f>
        <v>yes</v>
      </c>
    </row>
    <row r="30" customFormat="false" ht="15" hidden="false" customHeight="false" outlineLevel="0" collapsed="false">
      <c r="A30" s="2" t="n">
        <v>147</v>
      </c>
      <c r="B30" s="2" t="s">
        <v>475</v>
      </c>
      <c r="C30" s="2" t="s">
        <v>39</v>
      </c>
      <c r="D30" s="2" t="n">
        <v>2.98</v>
      </c>
      <c r="E30" s="2" t="s">
        <v>446</v>
      </c>
      <c r="F30" s="2" t="s">
        <v>262</v>
      </c>
      <c r="G30" s="2" t="s">
        <v>447</v>
      </c>
      <c r="H30" s="2" t="n">
        <v>0.45</v>
      </c>
      <c r="I30" s="2" t="n">
        <v>42</v>
      </c>
      <c r="J30" s="2"/>
      <c r="K30" s="2"/>
      <c r="L30" s="2"/>
      <c r="M30" s="2" t="n">
        <v>2.98</v>
      </c>
      <c r="N30" s="2"/>
      <c r="O30" s="4" t="s">
        <v>71</v>
      </c>
      <c r="P30" s="4" t="s">
        <v>39</v>
      </c>
      <c r="Q30" s="2" t="n">
        <f aca="false">M30</f>
        <v>2.98</v>
      </c>
      <c r="R30" s="2" t="n">
        <f aca="false">MAX(0.1,ROUNDUP(ROUND(D30,6)*10,0)/10)</f>
        <v>3</v>
      </c>
      <c r="S30" s="2" t="n">
        <f aca="false">MAX(0.1,ROUNDUP(ROUND(Q30,6)*10,0)/10)</f>
        <v>3</v>
      </c>
      <c r="T30" s="2" t="str">
        <f aca="false">IF(R30&lt;&gt;S30,"yes","no")</f>
        <v>no</v>
      </c>
      <c r="U30" s="2"/>
      <c r="V30" s="2" t="n">
        <v>2.98</v>
      </c>
      <c r="W30" s="2" t="n">
        <f aca="false">MAX(0.1,ROUNDUP(ROUND(V30,6)*10,0)/10)</f>
        <v>3</v>
      </c>
      <c r="X30" s="2" t="str">
        <f aca="false">IF(W30&lt;&gt;S30,"yes","no")</f>
        <v>no</v>
      </c>
    </row>
    <row r="31" customFormat="false" ht="15" hidden="false" customHeight="false" outlineLevel="0" collapsed="false">
      <c r="A31" s="2" t="n">
        <v>172</v>
      </c>
      <c r="B31" s="2" t="s">
        <v>473</v>
      </c>
      <c r="C31" s="2" t="s">
        <v>39</v>
      </c>
      <c r="D31" s="2" t="n">
        <v>3.235</v>
      </c>
      <c r="E31" s="2" t="s">
        <v>446</v>
      </c>
      <c r="F31" s="2" t="s">
        <v>262</v>
      </c>
      <c r="G31" s="2" t="s">
        <v>463</v>
      </c>
      <c r="H31" s="2" t="n">
        <v>2.025</v>
      </c>
      <c r="I31" s="2" t="n">
        <v>165</v>
      </c>
      <c r="J31" s="2" t="n">
        <v>3380</v>
      </c>
      <c r="K31" s="2" t="n">
        <v>70</v>
      </c>
      <c r="L31" s="2" t="s">
        <v>464</v>
      </c>
      <c r="M31" s="2" t="n">
        <v>3.365</v>
      </c>
      <c r="N31" s="2" t="n">
        <v>0.232</v>
      </c>
      <c r="O31" s="4" t="s">
        <v>71</v>
      </c>
      <c r="P31" s="4" t="s">
        <v>39</v>
      </c>
      <c r="Q31" s="2" t="n">
        <f aca="false">M31</f>
        <v>3.365</v>
      </c>
      <c r="R31" s="2" t="n">
        <f aca="false">MAX(0.1,ROUNDUP(ROUND(D31,6)*10,0)/10)</f>
        <v>3.3</v>
      </c>
      <c r="S31" s="2" t="n">
        <f aca="false">MAX(0.1,ROUNDUP(ROUND(Q31,6)*10,0)/10)</f>
        <v>3.4</v>
      </c>
      <c r="T31" s="2" t="str">
        <f aca="false">IF(R31&lt;&gt;S31,"yes","no")</f>
        <v>yes</v>
      </c>
      <c r="U31" s="2"/>
      <c r="V31" s="2" t="n">
        <v>3.201</v>
      </c>
      <c r="W31" s="2" t="n">
        <f aca="false">MAX(0.1,ROUNDUP(ROUND(V31,6)*10,0)/10)</f>
        <v>3.3</v>
      </c>
      <c r="X31" s="2" t="str">
        <f aca="false">IF(W31&lt;&gt;S31,"yes","no")</f>
        <v>yes</v>
      </c>
    </row>
    <row r="32" customFormat="false" ht="15" hidden="false" customHeight="false" outlineLevel="0" collapsed="false">
      <c r="A32" s="2" t="n">
        <v>124</v>
      </c>
      <c r="B32" s="2" t="s">
        <v>455</v>
      </c>
      <c r="C32" s="2" t="s">
        <v>39</v>
      </c>
      <c r="D32" s="2" t="n">
        <v>3.485</v>
      </c>
      <c r="E32" s="2" t="s">
        <v>446</v>
      </c>
      <c r="F32" s="2" t="s">
        <v>470</v>
      </c>
      <c r="G32" s="2" t="s">
        <v>463</v>
      </c>
      <c r="H32" s="2" t="n">
        <v>2.25</v>
      </c>
      <c r="I32" s="2" t="n">
        <v>175</v>
      </c>
      <c r="J32" s="2" t="n">
        <v>3588</v>
      </c>
      <c r="K32" s="2" t="n">
        <v>87.5</v>
      </c>
      <c r="L32" s="2" t="s">
        <v>466</v>
      </c>
      <c r="M32" s="2" t="n">
        <v>3.619</v>
      </c>
      <c r="N32" s="2" t="n">
        <v>0.263</v>
      </c>
      <c r="O32" s="4" t="s">
        <v>71</v>
      </c>
      <c r="P32" s="4" t="s">
        <v>39</v>
      </c>
      <c r="Q32" s="2" t="n">
        <f aca="false">M32</f>
        <v>3.619</v>
      </c>
      <c r="R32" s="2" t="n">
        <f aca="false">MAX(0.1,ROUNDUP(ROUND(D32,6)*10,0)/10)</f>
        <v>3.5</v>
      </c>
      <c r="S32" s="2" t="n">
        <f aca="false">MAX(0.1,ROUNDUP(ROUND(Q32,6)*10,0)/10)</f>
        <v>3.7</v>
      </c>
      <c r="T32" s="2" t="str">
        <f aca="false">IF(R32&lt;&gt;S32,"yes","no")</f>
        <v>yes</v>
      </c>
      <c r="U32" s="5" t="s">
        <v>467</v>
      </c>
      <c r="V32" s="2" t="n">
        <v>3.458</v>
      </c>
      <c r="W32" s="2" t="n">
        <f aca="false">MAX(0.1,ROUNDUP(ROUND(V32,6)*10,0)/10)</f>
        <v>3.5</v>
      </c>
      <c r="X32" s="2" t="str">
        <f aca="false">IF(W32&lt;&gt;S32,"yes","no")</f>
        <v>yes</v>
      </c>
    </row>
    <row r="33" customFormat="false" ht="15" hidden="false" customHeight="false" outlineLevel="0" collapsed="false">
      <c r="A33" s="2" t="n">
        <v>148</v>
      </c>
      <c r="B33" s="2" t="s">
        <v>475</v>
      </c>
      <c r="C33" s="2" t="s">
        <v>450</v>
      </c>
      <c r="D33" s="2" t="n">
        <v>3.545</v>
      </c>
      <c r="E33" s="2" t="s">
        <v>459</v>
      </c>
      <c r="F33" s="2"/>
      <c r="G33" s="2" t="s">
        <v>463</v>
      </c>
      <c r="H33" s="2" t="n">
        <v>3.95</v>
      </c>
      <c r="I33" s="2" t="n">
        <v>175</v>
      </c>
      <c r="J33" s="2" t="n">
        <v>3627</v>
      </c>
      <c r="K33" s="2" t="n">
        <v>87.5</v>
      </c>
      <c r="L33" s="2" t="s">
        <v>466</v>
      </c>
      <c r="M33" s="2" t="n">
        <v>3.668</v>
      </c>
      <c r="N33" s="2" t="n">
        <v>0.27</v>
      </c>
      <c r="O33" s="4" t="s">
        <v>71</v>
      </c>
      <c r="P33" s="4" t="s">
        <v>450</v>
      </c>
      <c r="Q33" s="2" t="n">
        <f aca="false">M33</f>
        <v>3.668</v>
      </c>
      <c r="R33" s="2" t="n">
        <f aca="false">MAX(0.1,ROUNDUP(ROUND(D33,6)*10,0)/10)</f>
        <v>3.6</v>
      </c>
      <c r="S33" s="2" t="n">
        <f aca="false">MAX(0.1,ROUNDUP(ROUND(Q33,6)*10,0)/10)</f>
        <v>3.7</v>
      </c>
      <c r="T33" s="2" t="str">
        <f aca="false">IF(R33&lt;&gt;S33,"yes","no")</f>
        <v>yes</v>
      </c>
      <c r="U33" s="5" t="s">
        <v>467</v>
      </c>
      <c r="V33" s="2" t="n">
        <v>3.506</v>
      </c>
      <c r="W33" s="2" t="n">
        <f aca="false">MAX(0.1,ROUNDUP(ROUND(V33,6)*10,0)/10)</f>
        <v>3.6</v>
      </c>
      <c r="X33" s="2" t="str">
        <f aca="false">IF(W33&lt;&gt;S33,"yes","no")</f>
        <v>yes</v>
      </c>
    </row>
    <row r="34" customFormat="false" ht="15" hidden="false" customHeight="false" outlineLevel="0" collapsed="false">
      <c r="A34" s="2" t="n">
        <v>166</v>
      </c>
      <c r="B34" s="2" t="s">
        <v>458</v>
      </c>
      <c r="C34" s="2" t="s">
        <v>39</v>
      </c>
      <c r="D34" s="2" t="n">
        <v>3.684</v>
      </c>
      <c r="E34" s="2" t="s">
        <v>446</v>
      </c>
      <c r="F34" s="2" t="s">
        <v>262</v>
      </c>
      <c r="G34" s="2" t="s">
        <v>447</v>
      </c>
      <c r="H34" s="2" t="n">
        <v>1.075</v>
      </c>
      <c r="I34" s="2" t="n">
        <v>26</v>
      </c>
      <c r="J34" s="2"/>
      <c r="K34" s="2"/>
      <c r="L34" s="2"/>
      <c r="M34" s="2" t="n">
        <v>3.684</v>
      </c>
      <c r="N34" s="2"/>
      <c r="O34" s="4" t="s">
        <v>71</v>
      </c>
      <c r="P34" s="4" t="s">
        <v>39</v>
      </c>
      <c r="Q34" s="2" t="n">
        <f aca="false">M34</f>
        <v>3.684</v>
      </c>
      <c r="R34" s="2" t="n">
        <f aca="false">MAX(0.1,ROUNDUP(ROUND(D34,6)*10,0)/10)</f>
        <v>3.7</v>
      </c>
      <c r="S34" s="2" t="n">
        <f aca="false">MAX(0.1,ROUNDUP(ROUND(Q34,6)*10,0)/10)</f>
        <v>3.7</v>
      </c>
      <c r="T34" s="2" t="str">
        <f aca="false">IF(R34&lt;&gt;S34,"yes","no")</f>
        <v>no</v>
      </c>
      <c r="U34" s="2"/>
      <c r="V34" s="2" t="n">
        <v>3.684</v>
      </c>
      <c r="W34" s="2" t="n">
        <f aca="false">MAX(0.1,ROUNDUP(ROUND(V34,6)*10,0)/10)</f>
        <v>3.7</v>
      </c>
      <c r="X34" s="2" t="str">
        <f aca="false">IF(W34&lt;&gt;S34,"yes","no")</f>
        <v>no</v>
      </c>
    </row>
    <row r="35" customFormat="false" ht="15" hidden="false" customHeight="false" outlineLevel="0" collapsed="false">
      <c r="A35" s="2" t="n">
        <v>132</v>
      </c>
      <c r="B35" s="2" t="s">
        <v>469</v>
      </c>
      <c r="C35" s="2" t="s">
        <v>450</v>
      </c>
      <c r="D35" s="2" t="n">
        <v>3.825</v>
      </c>
      <c r="E35" s="2" t="s">
        <v>459</v>
      </c>
      <c r="F35" s="2"/>
      <c r="G35" s="2" t="s">
        <v>463</v>
      </c>
      <c r="H35" s="2" t="n">
        <v>0.95</v>
      </c>
      <c r="I35" s="2" t="n">
        <v>135</v>
      </c>
      <c r="J35" s="2" t="n">
        <v>3862</v>
      </c>
      <c r="K35" s="2" t="n">
        <v>67.5</v>
      </c>
      <c r="L35" s="2" t="s">
        <v>466</v>
      </c>
      <c r="M35" s="2" t="n">
        <v>3.976</v>
      </c>
      <c r="N35" s="2" t="n">
        <v>0.252</v>
      </c>
      <c r="O35" s="4" t="s">
        <v>71</v>
      </c>
      <c r="P35" s="4" t="s">
        <v>450</v>
      </c>
      <c r="Q35" s="2" t="n">
        <f aca="false">M35</f>
        <v>3.976</v>
      </c>
      <c r="R35" s="2" t="n">
        <f aca="false">MAX(0.1,ROUNDUP(ROUND(D35,6)*10,0)/10)</f>
        <v>3.9</v>
      </c>
      <c r="S35" s="2" t="n">
        <f aca="false">MAX(0.1,ROUNDUP(ROUND(Q35,6)*10,0)/10)</f>
        <v>4</v>
      </c>
      <c r="T35" s="2" t="str">
        <f aca="false">IF(R35&lt;&gt;S35,"yes","no")</f>
        <v>yes</v>
      </c>
      <c r="U35" s="5" t="s">
        <v>467</v>
      </c>
      <c r="V35" s="2" t="n">
        <v>3.797</v>
      </c>
      <c r="W35" s="2" t="n">
        <f aca="false">MAX(0.1,ROUNDUP(ROUND(V35,6)*10,0)/10)</f>
        <v>3.8</v>
      </c>
      <c r="X35" s="2" t="str">
        <f aca="false">IF(W35&lt;&gt;S35,"yes","no")</f>
        <v>yes</v>
      </c>
    </row>
    <row r="36" customFormat="false" ht="15" hidden="false" customHeight="false" outlineLevel="0" collapsed="false">
      <c r="A36" s="2" t="n">
        <v>189</v>
      </c>
      <c r="B36" s="2" t="s">
        <v>449</v>
      </c>
      <c r="C36" s="2" t="s">
        <v>39</v>
      </c>
      <c r="D36" s="2" t="n">
        <v>4.202</v>
      </c>
      <c r="E36" s="2" t="s">
        <v>446</v>
      </c>
      <c r="F36" s="2" t="s">
        <v>262</v>
      </c>
      <c r="G36" s="2" t="s">
        <v>447</v>
      </c>
      <c r="H36" s="2" t="n">
        <v>2.1</v>
      </c>
      <c r="I36" s="2" t="n">
        <v>30</v>
      </c>
      <c r="J36" s="2"/>
      <c r="K36" s="2"/>
      <c r="L36" s="2"/>
      <c r="M36" s="2" t="n">
        <v>4.202</v>
      </c>
      <c r="N36" s="2"/>
      <c r="O36" s="4" t="s">
        <v>71</v>
      </c>
      <c r="P36" s="4" t="s">
        <v>39</v>
      </c>
      <c r="Q36" s="2" t="n">
        <f aca="false">M36</f>
        <v>4.202</v>
      </c>
      <c r="R36" s="2" t="n">
        <f aca="false">MAX(0.1,ROUNDUP(ROUND(D36,6)*10,0)/10)</f>
        <v>4.3</v>
      </c>
      <c r="S36" s="2" t="n">
        <f aca="false">MAX(0.1,ROUNDUP(ROUND(Q36,6)*10,0)/10)</f>
        <v>4.3</v>
      </c>
      <c r="T36" s="2" t="str">
        <f aca="false">IF(R36&lt;&gt;S36,"yes","no")</f>
        <v>no</v>
      </c>
      <c r="U36" s="2"/>
      <c r="V36" s="2" t="n">
        <v>4.202</v>
      </c>
      <c r="W36" s="2" t="n">
        <f aca="false">MAX(0.1,ROUNDUP(ROUND(V36,6)*10,0)/10)</f>
        <v>4.3</v>
      </c>
      <c r="X36" s="2" t="str">
        <f aca="false">IF(W36&lt;&gt;S36,"yes","no")</f>
        <v>no</v>
      </c>
    </row>
    <row r="37" customFormat="false" ht="15" hidden="false" customHeight="false" outlineLevel="0" collapsed="false">
      <c r="A37" s="2" t="n">
        <v>140</v>
      </c>
      <c r="B37" s="2" t="s">
        <v>476</v>
      </c>
      <c r="C37" s="2" t="s">
        <v>450</v>
      </c>
      <c r="D37" s="2" t="n">
        <v>4.277</v>
      </c>
      <c r="E37" s="2" t="s">
        <v>459</v>
      </c>
      <c r="F37" s="2" t="s">
        <v>459</v>
      </c>
      <c r="G37" s="2" t="s">
        <v>447</v>
      </c>
      <c r="H37" s="2" t="n">
        <v>0.6</v>
      </c>
      <c r="I37" s="2" t="n">
        <v>41</v>
      </c>
      <c r="J37" s="2"/>
      <c r="K37" s="2"/>
      <c r="L37" s="2"/>
      <c r="M37" s="2" t="n">
        <v>4.277</v>
      </c>
      <c r="N37" s="2"/>
      <c r="O37" s="4" t="s">
        <v>71</v>
      </c>
      <c r="P37" s="4" t="s">
        <v>450</v>
      </c>
      <c r="Q37" s="2" t="n">
        <f aca="false">M37</f>
        <v>4.277</v>
      </c>
      <c r="R37" s="2" t="n">
        <f aca="false">MAX(0.1,ROUNDUP(ROUND(D37,6)*10,0)/10)</f>
        <v>4.3</v>
      </c>
      <c r="S37" s="2" t="n">
        <f aca="false">MAX(0.1,ROUNDUP(ROUND(Q37,6)*10,0)/10)</f>
        <v>4.3</v>
      </c>
      <c r="T37" s="2" t="str">
        <f aca="false">IF(R37&lt;&gt;S37,"yes","no")</f>
        <v>no</v>
      </c>
      <c r="U37" s="2"/>
      <c r="V37" s="2" t="n">
        <v>4.277</v>
      </c>
      <c r="W37" s="2" t="n">
        <f aca="false">MAX(0.1,ROUNDUP(ROUND(V37,6)*10,0)/10)</f>
        <v>4.3</v>
      </c>
      <c r="X37" s="2" t="str">
        <f aca="false">IF(W37&lt;&gt;S37,"yes","no")</f>
        <v>no</v>
      </c>
    </row>
    <row r="38" customFormat="false" ht="15" hidden="false" customHeight="false" outlineLevel="0" collapsed="false">
      <c r="A38" s="2" t="n">
        <v>108</v>
      </c>
      <c r="B38" s="2" t="s">
        <v>452</v>
      </c>
      <c r="C38" s="2" t="s">
        <v>450</v>
      </c>
      <c r="D38" s="2" t="n">
        <v>4.371</v>
      </c>
      <c r="E38" s="2" t="s">
        <v>451</v>
      </c>
      <c r="F38" s="2" t="s">
        <v>451</v>
      </c>
      <c r="G38" s="2" t="s">
        <v>447</v>
      </c>
      <c r="H38" s="2" t="n">
        <v>2.1</v>
      </c>
      <c r="I38" s="2" t="n">
        <v>33</v>
      </c>
      <c r="J38" s="2"/>
      <c r="K38" s="2"/>
      <c r="L38" s="2"/>
      <c r="M38" s="2" t="n">
        <v>4.371</v>
      </c>
      <c r="N38" s="2"/>
      <c r="O38" s="4" t="s">
        <v>71</v>
      </c>
      <c r="P38" s="4" t="s">
        <v>450</v>
      </c>
      <c r="Q38" s="2" t="n">
        <f aca="false">M38</f>
        <v>4.371</v>
      </c>
      <c r="R38" s="2" t="n">
        <f aca="false">MAX(0.1,ROUNDUP(ROUND(D38,6)*10,0)/10)</f>
        <v>4.4</v>
      </c>
      <c r="S38" s="2" t="n">
        <f aca="false">MAX(0.1,ROUNDUP(ROUND(Q38,6)*10,0)/10)</f>
        <v>4.4</v>
      </c>
      <c r="T38" s="2" t="str">
        <f aca="false">IF(R38&lt;&gt;S38,"yes","no")</f>
        <v>no</v>
      </c>
      <c r="U38" s="2"/>
      <c r="V38" s="2" t="n">
        <v>4.371</v>
      </c>
      <c r="W38" s="2" t="n">
        <f aca="false">MAX(0.1,ROUNDUP(ROUND(V38,6)*10,0)/10)</f>
        <v>4.4</v>
      </c>
      <c r="X38" s="2" t="str">
        <f aca="false">IF(W38&lt;&gt;S38,"yes","no")</f>
        <v>no</v>
      </c>
    </row>
    <row r="39" customFormat="false" ht="15" hidden="false" customHeight="false" outlineLevel="0" collapsed="false">
      <c r="A39" s="2" t="n">
        <v>133</v>
      </c>
      <c r="B39" s="2" t="s">
        <v>469</v>
      </c>
      <c r="C39" s="2" t="s">
        <v>39</v>
      </c>
      <c r="D39" s="2" t="n">
        <v>4.397</v>
      </c>
      <c r="E39" s="2" t="s">
        <v>446</v>
      </c>
      <c r="F39" s="2" t="s">
        <v>262</v>
      </c>
      <c r="G39" s="2" t="s">
        <v>447</v>
      </c>
      <c r="H39" s="2" t="n">
        <v>2.15</v>
      </c>
      <c r="I39" s="2" t="n">
        <v>35</v>
      </c>
      <c r="J39" s="2"/>
      <c r="K39" s="2"/>
      <c r="L39" s="2"/>
      <c r="M39" s="2" t="n">
        <v>4.397</v>
      </c>
      <c r="N39" s="2"/>
      <c r="O39" s="4" t="s">
        <v>71</v>
      </c>
      <c r="P39" s="4" t="s">
        <v>39</v>
      </c>
      <c r="Q39" s="2" t="n">
        <f aca="false">M39</f>
        <v>4.397</v>
      </c>
      <c r="R39" s="2" t="n">
        <f aca="false">MAX(0.1,ROUNDUP(ROUND(D39,6)*10,0)/10)</f>
        <v>4.4</v>
      </c>
      <c r="S39" s="2" t="n">
        <f aca="false">MAX(0.1,ROUNDUP(ROUND(Q39,6)*10,0)/10)</f>
        <v>4.4</v>
      </c>
      <c r="T39" s="2" t="str">
        <f aca="false">IF(R39&lt;&gt;S39,"yes","no")</f>
        <v>no</v>
      </c>
      <c r="U39" s="2"/>
      <c r="V39" s="2" t="n">
        <v>4.397</v>
      </c>
      <c r="W39" s="2" t="n">
        <f aca="false">MAX(0.1,ROUNDUP(ROUND(V39,6)*10,0)/10)</f>
        <v>4.4</v>
      </c>
      <c r="X39" s="2" t="str">
        <f aca="false">IF(W39&lt;&gt;S39,"yes","no")</f>
        <v>no</v>
      </c>
    </row>
    <row r="40" customFormat="false" ht="15" hidden="false" customHeight="false" outlineLevel="0" collapsed="false">
      <c r="A40" s="2" t="n">
        <v>138</v>
      </c>
      <c r="B40" s="2" t="s">
        <v>457</v>
      </c>
      <c r="C40" s="2" t="s">
        <v>39</v>
      </c>
      <c r="D40" s="2" t="n">
        <v>4.424</v>
      </c>
      <c r="E40" s="2" t="s">
        <v>477</v>
      </c>
      <c r="F40" s="2" t="s">
        <v>477</v>
      </c>
      <c r="G40" s="2" t="s">
        <v>447</v>
      </c>
      <c r="H40" s="2" t="n">
        <v>3.775</v>
      </c>
      <c r="I40" s="2" t="n">
        <v>31</v>
      </c>
      <c r="J40" s="2"/>
      <c r="K40" s="2"/>
      <c r="L40" s="2"/>
      <c r="M40" s="2" t="n">
        <v>4.424</v>
      </c>
      <c r="N40" s="2"/>
      <c r="O40" s="4" t="s">
        <v>71</v>
      </c>
      <c r="P40" s="4" t="s">
        <v>450</v>
      </c>
      <c r="Q40" s="2" t="n">
        <f aca="false">M40</f>
        <v>4.424</v>
      </c>
      <c r="R40" s="2" t="n">
        <f aca="false">MAX(0.1,ROUNDUP(ROUND(D40,6)*10,0)/10)</f>
        <v>4.5</v>
      </c>
      <c r="S40" s="2" t="n">
        <f aca="false">MAX(0.1,ROUNDUP(ROUND(Q40,6)*10,0)/10)</f>
        <v>4.5</v>
      </c>
      <c r="T40" s="2" t="str">
        <f aca="false">IF(R40&lt;&gt;S40,"yes","no")</f>
        <v>no</v>
      </c>
      <c r="U40" s="5" t="s">
        <v>478</v>
      </c>
      <c r="V40" s="2" t="n">
        <v>4.424</v>
      </c>
      <c r="W40" s="2" t="n">
        <f aca="false">MAX(0.1,ROUNDUP(ROUND(V40,6)*10,0)/10)</f>
        <v>4.5</v>
      </c>
      <c r="X40" s="2" t="str">
        <f aca="false">IF(W40&lt;&gt;S40,"yes","no")</f>
        <v>no</v>
      </c>
    </row>
    <row r="41" customFormat="false" ht="15" hidden="false" customHeight="false" outlineLevel="0" collapsed="false">
      <c r="A41" s="2" t="n">
        <v>190</v>
      </c>
      <c r="B41" s="2" t="s">
        <v>449</v>
      </c>
      <c r="C41" s="2" t="s">
        <v>39</v>
      </c>
      <c r="D41" s="2" t="n">
        <v>4.435</v>
      </c>
      <c r="E41" s="2" t="s">
        <v>446</v>
      </c>
      <c r="F41" s="2" t="s">
        <v>262</v>
      </c>
      <c r="G41" s="2" t="s">
        <v>463</v>
      </c>
      <c r="H41" s="2" t="n">
        <v>3.6</v>
      </c>
      <c r="I41" s="2" t="n">
        <v>185</v>
      </c>
      <c r="J41" s="2" t="n">
        <v>4310</v>
      </c>
      <c r="K41" s="2" t="n">
        <v>70</v>
      </c>
      <c r="L41" s="2" t="s">
        <v>464</v>
      </c>
      <c r="M41" s="2" t="n">
        <v>4.57</v>
      </c>
      <c r="N41" s="2" t="n">
        <v>0.242</v>
      </c>
      <c r="O41" s="4" t="s">
        <v>71</v>
      </c>
      <c r="P41" s="4" t="s">
        <v>39</v>
      </c>
      <c r="Q41" s="2" t="n">
        <f aca="false">M41</f>
        <v>4.57</v>
      </c>
      <c r="R41" s="2" t="n">
        <f aca="false">MAX(0.1,ROUNDUP(ROUND(D41,6)*10,0)/10)</f>
        <v>4.5</v>
      </c>
      <c r="S41" s="2" t="n">
        <f aca="false">MAX(0.1,ROUNDUP(ROUND(Q41,6)*10,0)/10)</f>
        <v>4.6</v>
      </c>
      <c r="T41" s="2" t="str">
        <f aca="false">IF(R41&lt;&gt;S41,"yes","no")</f>
        <v>yes</v>
      </c>
      <c r="U41" s="2"/>
      <c r="V41" s="2" t="n">
        <v>4.391</v>
      </c>
      <c r="W41" s="2" t="n">
        <f aca="false">MAX(0.1,ROUNDUP(ROUND(V41,6)*10,0)/10)</f>
        <v>4.4</v>
      </c>
      <c r="X41" s="2" t="str">
        <f aca="false">IF(W41&lt;&gt;S41,"yes","no")</f>
        <v>yes</v>
      </c>
    </row>
    <row r="42" customFormat="false" ht="15" hidden="false" customHeight="false" outlineLevel="0" collapsed="false">
      <c r="A42" s="2" t="n">
        <v>134</v>
      </c>
      <c r="B42" s="2" t="s">
        <v>469</v>
      </c>
      <c r="C42" s="2" t="s">
        <v>39</v>
      </c>
      <c r="D42" s="2" t="n">
        <v>4.565</v>
      </c>
      <c r="E42" s="2" t="s">
        <v>446</v>
      </c>
      <c r="F42" s="2" t="s">
        <v>470</v>
      </c>
      <c r="G42" s="2" t="s">
        <v>463</v>
      </c>
      <c r="H42" s="2" t="n">
        <v>3.15</v>
      </c>
      <c r="I42" s="2" t="n">
        <v>210</v>
      </c>
      <c r="J42" s="2" t="n">
        <v>4427</v>
      </c>
      <c r="K42" s="2" t="n">
        <v>105</v>
      </c>
      <c r="L42" s="2" t="s">
        <v>466</v>
      </c>
      <c r="M42" s="2" t="n">
        <v>4.707</v>
      </c>
      <c r="N42" s="2" t="n">
        <v>0.3155</v>
      </c>
      <c r="O42" s="4" t="s">
        <v>71</v>
      </c>
      <c r="P42" s="4" t="s">
        <v>39</v>
      </c>
      <c r="Q42" s="2" t="n">
        <f aca="false">M42</f>
        <v>4.707</v>
      </c>
      <c r="R42" s="2" t="n">
        <f aca="false">MAX(0.1,ROUNDUP(ROUND(D42,6)*10,0)/10)</f>
        <v>4.6</v>
      </c>
      <c r="S42" s="2" t="n">
        <f aca="false">MAX(0.1,ROUNDUP(ROUND(Q42,6)*10,0)/10)</f>
        <v>4.8</v>
      </c>
      <c r="T42" s="2" t="str">
        <f aca="false">IF(R42&lt;&gt;S42,"yes","no")</f>
        <v>yes</v>
      </c>
      <c r="U42" s="5" t="s">
        <v>467</v>
      </c>
      <c r="V42" s="2" t="n">
        <v>4.545</v>
      </c>
      <c r="W42" s="2" t="n">
        <f aca="false">MAX(0.1,ROUNDUP(ROUND(V42,6)*10,0)/10)</f>
        <v>4.6</v>
      </c>
      <c r="X42" s="2" t="str">
        <f aca="false">IF(W42&lt;&gt;S42,"yes","no")</f>
        <v>yes</v>
      </c>
    </row>
    <row r="43" customFormat="false" ht="15" hidden="false" customHeight="false" outlineLevel="0" collapsed="false">
      <c r="A43" s="2" t="n">
        <v>143</v>
      </c>
      <c r="B43" s="2" t="s">
        <v>474</v>
      </c>
      <c r="C43" s="2" t="s">
        <v>450</v>
      </c>
      <c r="D43" s="2" t="n">
        <v>4.569</v>
      </c>
      <c r="E43" s="2" t="s">
        <v>462</v>
      </c>
      <c r="F43" s="2" t="s">
        <v>462</v>
      </c>
      <c r="G43" s="2" t="s">
        <v>447</v>
      </c>
      <c r="H43" s="2" t="n">
        <v>2.125</v>
      </c>
      <c r="I43" s="2" t="n">
        <v>33</v>
      </c>
      <c r="J43" s="2"/>
      <c r="K43" s="2"/>
      <c r="L43" s="2"/>
      <c r="M43" s="2" t="n">
        <v>4.569</v>
      </c>
      <c r="N43" s="2"/>
      <c r="O43" s="4" t="s">
        <v>71</v>
      </c>
      <c r="P43" s="4" t="s">
        <v>450</v>
      </c>
      <c r="Q43" s="2" t="n">
        <f aca="false">M43</f>
        <v>4.569</v>
      </c>
      <c r="R43" s="2" t="n">
        <f aca="false">MAX(0.1,ROUNDUP(ROUND(D43,6)*10,0)/10)</f>
        <v>4.6</v>
      </c>
      <c r="S43" s="2" t="n">
        <f aca="false">MAX(0.1,ROUNDUP(ROUND(Q43,6)*10,0)/10)</f>
        <v>4.6</v>
      </c>
      <c r="T43" s="2" t="str">
        <f aca="false">IF(R43&lt;&gt;S43,"yes","no")</f>
        <v>no</v>
      </c>
      <c r="U43" s="2"/>
      <c r="V43" s="2" t="n">
        <v>4.569</v>
      </c>
      <c r="W43" s="2" t="n">
        <f aca="false">MAX(0.1,ROUNDUP(ROUND(V43,6)*10,0)/10)</f>
        <v>4.6</v>
      </c>
      <c r="X43" s="2" t="str">
        <f aca="false">IF(W43&lt;&gt;S43,"yes","no")</f>
        <v>no</v>
      </c>
    </row>
    <row r="44" customFormat="false" ht="15" hidden="false" customHeight="false" outlineLevel="0" collapsed="false">
      <c r="A44" s="2" t="n">
        <v>152</v>
      </c>
      <c r="B44" s="2" t="s">
        <v>445</v>
      </c>
      <c r="C44" s="2" t="s">
        <v>450</v>
      </c>
      <c r="D44" s="2" t="n">
        <v>4.601</v>
      </c>
      <c r="E44" s="2" t="s">
        <v>459</v>
      </c>
      <c r="F44" s="2" t="s">
        <v>459</v>
      </c>
      <c r="G44" s="2" t="s">
        <v>447</v>
      </c>
      <c r="H44" s="2" t="n">
        <v>2.1</v>
      </c>
      <c r="I44" s="2" t="n">
        <v>35</v>
      </c>
      <c r="J44" s="2"/>
      <c r="K44" s="2"/>
      <c r="L44" s="2"/>
      <c r="M44" s="2" t="n">
        <v>4.601</v>
      </c>
      <c r="N44" s="2"/>
      <c r="O44" s="4" t="s">
        <v>71</v>
      </c>
      <c r="P44" s="4" t="s">
        <v>450</v>
      </c>
      <c r="Q44" s="2" t="n">
        <f aca="false">M44</f>
        <v>4.601</v>
      </c>
      <c r="R44" s="2" t="n">
        <f aca="false">MAX(0.1,ROUNDUP(ROUND(D44,6)*10,0)/10)</f>
        <v>4.7</v>
      </c>
      <c r="S44" s="2" t="n">
        <f aca="false">MAX(0.1,ROUNDUP(ROUND(Q44,6)*10,0)/10)</f>
        <v>4.7</v>
      </c>
      <c r="T44" s="2" t="str">
        <f aca="false">IF(R44&lt;&gt;S44,"yes","no")</f>
        <v>no</v>
      </c>
      <c r="U44" s="2"/>
      <c r="V44" s="2" t="n">
        <v>4.601</v>
      </c>
      <c r="W44" s="2" t="n">
        <f aca="false">MAX(0.1,ROUNDUP(ROUND(V44,6)*10,0)/10)</f>
        <v>4.7</v>
      </c>
      <c r="X44" s="2" t="str">
        <f aca="false">IF(W44&lt;&gt;S44,"yes","no")</f>
        <v>no</v>
      </c>
    </row>
    <row r="45" customFormat="false" ht="15" hidden="false" customHeight="false" outlineLevel="0" collapsed="false">
      <c r="A45" s="2" t="n">
        <v>135</v>
      </c>
      <c r="B45" s="2" t="s">
        <v>469</v>
      </c>
      <c r="C45" s="2" t="s">
        <v>450</v>
      </c>
      <c r="D45" s="2" t="n">
        <v>4.625</v>
      </c>
      <c r="E45" s="2" t="s">
        <v>462</v>
      </c>
      <c r="F45" s="2"/>
      <c r="G45" s="2" t="s">
        <v>463</v>
      </c>
      <c r="H45" s="2" t="n">
        <v>4.15</v>
      </c>
      <c r="I45" s="2" t="n">
        <v>185</v>
      </c>
      <c r="J45" s="2" t="n">
        <v>4470</v>
      </c>
      <c r="K45" s="2" t="n">
        <v>92.5</v>
      </c>
      <c r="L45" s="2" t="s">
        <v>466</v>
      </c>
      <c r="M45" s="2" t="n">
        <v>4.761</v>
      </c>
      <c r="N45" s="2" t="n">
        <v>0.303</v>
      </c>
      <c r="O45" s="4" t="s">
        <v>71</v>
      </c>
      <c r="P45" s="4" t="s">
        <v>450</v>
      </c>
      <c r="Q45" s="2" t="n">
        <f aca="false">M45</f>
        <v>4.761</v>
      </c>
      <c r="R45" s="2" t="n">
        <f aca="false">MAX(0.1,ROUNDUP(ROUND(D45,6)*10,0)/10)</f>
        <v>4.7</v>
      </c>
      <c r="S45" s="2" t="n">
        <f aca="false">MAX(0.1,ROUNDUP(ROUND(Q45,6)*10,0)/10)</f>
        <v>4.8</v>
      </c>
      <c r="T45" s="2" t="str">
        <f aca="false">IF(R45&lt;&gt;S45,"yes","no")</f>
        <v>yes</v>
      </c>
      <c r="U45" s="5" t="s">
        <v>467</v>
      </c>
      <c r="V45" s="2" t="n">
        <v>4.599</v>
      </c>
      <c r="W45" s="2" t="n">
        <f aca="false">MAX(0.1,ROUNDUP(ROUND(V45,6)*10,0)/10)</f>
        <v>4.6</v>
      </c>
      <c r="X45" s="2" t="str">
        <f aca="false">IF(W45&lt;&gt;S45,"yes","no")</f>
        <v>yes</v>
      </c>
    </row>
    <row r="46" customFormat="false" ht="15" hidden="false" customHeight="false" outlineLevel="0" collapsed="false">
      <c r="A46" s="2" t="n">
        <v>141</v>
      </c>
      <c r="B46" s="2" t="s">
        <v>476</v>
      </c>
      <c r="C46" s="2" t="s">
        <v>450</v>
      </c>
      <c r="D46" s="2" t="n">
        <v>4.675</v>
      </c>
      <c r="E46" s="2"/>
      <c r="F46" s="2"/>
      <c r="G46" s="2"/>
      <c r="H46" s="2"/>
      <c r="I46" s="2"/>
      <c r="J46" s="2"/>
      <c r="K46" s="2"/>
      <c r="L46" s="2"/>
      <c r="M46" s="2" t="n">
        <v>4.675</v>
      </c>
      <c r="N46" s="2"/>
      <c r="O46" s="4" t="s">
        <v>71</v>
      </c>
      <c r="P46" s="4" t="s">
        <v>450</v>
      </c>
      <c r="Q46" s="2" t="n">
        <f aca="false">M46</f>
        <v>4.675</v>
      </c>
      <c r="R46" s="2" t="n">
        <f aca="false">MAX(0.1,ROUNDUP(ROUND(D46,6)*10,0)/10)</f>
        <v>4.7</v>
      </c>
      <c r="S46" s="2" t="n">
        <f aca="false">MAX(0.1,ROUNDUP(ROUND(Q46,6)*10,0)/10)</f>
        <v>4.7</v>
      </c>
      <c r="T46" s="2" t="str">
        <f aca="false">IF(R46&lt;&gt;S46,"yes","no")</f>
        <v>no</v>
      </c>
      <c r="U46" s="5" t="s">
        <v>479</v>
      </c>
      <c r="V46" s="2" t="n">
        <v>4.675</v>
      </c>
      <c r="W46" s="2" t="n">
        <f aca="false">MAX(0.1,ROUNDUP(ROUND(V46,6)*10,0)/10)</f>
        <v>4.7</v>
      </c>
      <c r="X46" s="2" t="str">
        <f aca="false">IF(W46&lt;&gt;S46,"yes","no")</f>
        <v>no</v>
      </c>
    </row>
    <row r="47" customFormat="false" ht="15" hidden="false" customHeight="false" outlineLevel="0" collapsed="false">
      <c r="A47" s="2" t="n">
        <v>198</v>
      </c>
      <c r="B47" s="2" t="s">
        <v>454</v>
      </c>
      <c r="C47" s="2" t="s">
        <v>39</v>
      </c>
      <c r="D47" s="2" t="n">
        <v>4.695</v>
      </c>
      <c r="E47" s="2" t="s">
        <v>446</v>
      </c>
      <c r="F47" s="2" t="s">
        <v>262</v>
      </c>
      <c r="G47" s="2" t="s">
        <v>463</v>
      </c>
      <c r="H47" s="2" t="n">
        <v>2.55</v>
      </c>
      <c r="I47" s="2" t="n">
        <v>165</v>
      </c>
      <c r="J47" s="2" t="n">
        <v>4530</v>
      </c>
      <c r="K47" s="2" t="n">
        <v>70</v>
      </c>
      <c r="L47" s="2" t="s">
        <v>464</v>
      </c>
      <c r="M47" s="2" t="n">
        <v>4.845</v>
      </c>
      <c r="N47" s="2" t="n">
        <v>0.2695</v>
      </c>
      <c r="O47" s="4" t="s">
        <v>71</v>
      </c>
      <c r="P47" s="4" t="s">
        <v>39</v>
      </c>
      <c r="Q47" s="2" t="n">
        <f aca="false">M47</f>
        <v>4.845</v>
      </c>
      <c r="R47" s="2" t="n">
        <f aca="false">MAX(0.1,ROUNDUP(ROUND(D47,6)*10,0)/10)</f>
        <v>4.7</v>
      </c>
      <c r="S47" s="2" t="n">
        <f aca="false">MAX(0.1,ROUNDUP(ROUND(Q47,6)*10,0)/10)</f>
        <v>4.9</v>
      </c>
      <c r="T47" s="2" t="str">
        <f aca="false">IF(R47&lt;&gt;S47,"yes","no")</f>
        <v>yes</v>
      </c>
      <c r="U47" s="2"/>
      <c r="V47" s="2" t="n">
        <v>4.67</v>
      </c>
      <c r="W47" s="2" t="n">
        <f aca="false">MAX(0.1,ROUNDUP(ROUND(V47,6)*10,0)/10)</f>
        <v>4.7</v>
      </c>
      <c r="X47" s="2" t="str">
        <f aca="false">IF(W47&lt;&gt;S47,"yes","no")</f>
        <v>yes</v>
      </c>
    </row>
    <row r="48" customFormat="false" ht="15" hidden="false" customHeight="false" outlineLevel="0" collapsed="false">
      <c r="A48" s="2" t="n">
        <v>139</v>
      </c>
      <c r="B48" s="2" t="s">
        <v>457</v>
      </c>
      <c r="C48" s="2" t="s">
        <v>450</v>
      </c>
      <c r="D48" s="2" t="n">
        <v>4.813</v>
      </c>
      <c r="E48" s="2" t="s">
        <v>459</v>
      </c>
      <c r="F48" s="2"/>
      <c r="G48" s="2" t="s">
        <v>480</v>
      </c>
      <c r="H48" s="2" t="n">
        <v>5.7</v>
      </c>
      <c r="I48" s="2" t="n">
        <v>33</v>
      </c>
      <c r="J48" s="2"/>
      <c r="K48" s="2"/>
      <c r="L48" s="2"/>
      <c r="M48" s="2" t="n">
        <v>4.813</v>
      </c>
      <c r="N48" s="2"/>
      <c r="O48" s="4" t="s">
        <v>71</v>
      </c>
      <c r="P48" s="4" t="s">
        <v>450</v>
      </c>
      <c r="Q48" s="2" t="n">
        <f aca="false">M48</f>
        <v>4.813</v>
      </c>
      <c r="R48" s="2" t="n">
        <f aca="false">MAX(0.1,ROUNDUP(ROUND(D48,6)*10,0)/10)</f>
        <v>4.9</v>
      </c>
      <c r="S48" s="2" t="n">
        <f aca="false">MAX(0.1,ROUNDUP(ROUND(Q48,6)*10,0)/10)</f>
        <v>4.9</v>
      </c>
      <c r="T48" s="2" t="str">
        <f aca="false">IF(R48&lt;&gt;S48,"yes","no")</f>
        <v>no</v>
      </c>
      <c r="U48" s="2"/>
      <c r="V48" s="2" t="n">
        <v>4.813</v>
      </c>
      <c r="W48" s="2" t="n">
        <f aca="false">MAX(0.1,ROUNDUP(ROUND(V48,6)*10,0)/10)</f>
        <v>4.9</v>
      </c>
      <c r="X48" s="2" t="str">
        <f aca="false">IF(W48&lt;&gt;S48,"yes","no")</f>
        <v>no</v>
      </c>
    </row>
    <row r="49" customFormat="false" ht="15" hidden="false" customHeight="false" outlineLevel="0" collapsed="false">
      <c r="A49" s="2" t="n">
        <v>153</v>
      </c>
      <c r="B49" s="2" t="s">
        <v>445</v>
      </c>
      <c r="C49" s="2" t="s">
        <v>39</v>
      </c>
      <c r="D49" s="2" t="n">
        <v>4.875</v>
      </c>
      <c r="E49" s="2" t="s">
        <v>446</v>
      </c>
      <c r="F49" s="2" t="s">
        <v>262</v>
      </c>
      <c r="G49" s="2" t="s">
        <v>463</v>
      </c>
      <c r="H49" s="2" t="n">
        <v>2.4</v>
      </c>
      <c r="I49" s="2" t="n">
        <v>165</v>
      </c>
      <c r="J49" s="2" t="n">
        <v>4640</v>
      </c>
      <c r="K49" s="2" t="n">
        <v>70</v>
      </c>
      <c r="L49" s="2" t="s">
        <v>464</v>
      </c>
      <c r="M49" s="2" t="n">
        <v>4.987</v>
      </c>
      <c r="N49" s="2" t="n">
        <v>0.2475</v>
      </c>
      <c r="O49" s="4" t="s">
        <v>71</v>
      </c>
      <c r="P49" s="4" t="s">
        <v>39</v>
      </c>
      <c r="Q49" s="2" t="n">
        <f aca="false">M49</f>
        <v>4.987</v>
      </c>
      <c r="R49" s="2" t="n">
        <f aca="false">MAX(0.1,ROUNDUP(ROUND(D49,6)*10,0)/10)</f>
        <v>4.9</v>
      </c>
      <c r="S49" s="2" t="n">
        <f aca="false">MAX(0.1,ROUNDUP(ROUND(Q49,6)*10,0)/10)</f>
        <v>5</v>
      </c>
      <c r="T49" s="2" t="str">
        <f aca="false">IF(R49&lt;&gt;S49,"yes","no")</f>
        <v>yes</v>
      </c>
      <c r="U49" s="2"/>
      <c r="V49" s="2" t="n">
        <v>4.812</v>
      </c>
      <c r="W49" s="2" t="n">
        <f aca="false">MAX(0.1,ROUNDUP(ROUND(V49,6)*10,0)/10)</f>
        <v>4.9</v>
      </c>
      <c r="X49" s="2" t="str">
        <f aca="false">IF(W49&lt;&gt;S49,"yes","no")</f>
        <v>yes</v>
      </c>
    </row>
    <row r="50" customFormat="false" ht="15" hidden="false" customHeight="false" outlineLevel="0" collapsed="false">
      <c r="A50" s="2" t="n">
        <v>162</v>
      </c>
      <c r="B50" s="2" t="s">
        <v>456</v>
      </c>
      <c r="C50" s="2" t="s">
        <v>39</v>
      </c>
      <c r="D50" s="2" t="n">
        <v>5.005</v>
      </c>
      <c r="E50" s="2" t="s">
        <v>446</v>
      </c>
      <c r="F50" s="2" t="s">
        <v>262</v>
      </c>
      <c r="G50" s="2" t="s">
        <v>463</v>
      </c>
      <c r="H50" s="2" t="n">
        <v>2.15</v>
      </c>
      <c r="I50" s="2" t="n">
        <v>215</v>
      </c>
      <c r="J50" s="2" t="n">
        <v>4770</v>
      </c>
      <c r="K50" s="2" t="n">
        <v>70</v>
      </c>
      <c r="L50" s="2" t="s">
        <v>464</v>
      </c>
      <c r="M50" s="2" t="n">
        <v>5.142</v>
      </c>
      <c r="N50" s="2" t="n">
        <v>0.2515</v>
      </c>
      <c r="O50" s="4" t="s">
        <v>71</v>
      </c>
      <c r="P50" s="4" t="s">
        <v>39</v>
      </c>
      <c r="Q50" s="2" t="n">
        <f aca="false">M50</f>
        <v>5.142</v>
      </c>
      <c r="R50" s="2" t="n">
        <f aca="false">MAX(0.1,ROUNDUP(ROUND(D50,6)*10,0)/10)</f>
        <v>5.1</v>
      </c>
      <c r="S50" s="2" t="n">
        <f aca="false">MAX(0.1,ROUNDUP(ROUND(Q50,6)*10,0)/10)</f>
        <v>5.2</v>
      </c>
      <c r="T50" s="2" t="str">
        <f aca="false">IF(R50&lt;&gt;S50,"yes","no")</f>
        <v>yes</v>
      </c>
      <c r="U50" s="5" t="s">
        <v>481</v>
      </c>
      <c r="V50" s="2" t="n">
        <v>4.984</v>
      </c>
      <c r="W50" s="2" t="n">
        <f aca="false">MAX(0.1,ROUNDUP(ROUND(V50,6)*10,0)/10)</f>
        <v>5</v>
      </c>
      <c r="X50" s="2" t="str">
        <f aca="false">IF(W50&lt;&gt;S50,"yes","no")</f>
        <v>yes</v>
      </c>
    </row>
    <row r="51" customFormat="false" ht="15" hidden="false" customHeight="false" outlineLevel="0" collapsed="false">
      <c r="A51" s="2" t="n">
        <v>126</v>
      </c>
      <c r="B51" s="2" t="s">
        <v>465</v>
      </c>
      <c r="C51" s="2" t="s">
        <v>39</v>
      </c>
      <c r="D51" s="2" t="n">
        <v>5.035</v>
      </c>
      <c r="E51" s="2" t="s">
        <v>446</v>
      </c>
      <c r="F51" s="2" t="s">
        <v>470</v>
      </c>
      <c r="G51" s="2" t="s">
        <v>463</v>
      </c>
      <c r="H51" s="2" t="n">
        <v>3.025</v>
      </c>
      <c r="I51" s="2" t="n">
        <v>220</v>
      </c>
      <c r="J51" s="2" t="n">
        <v>4763</v>
      </c>
      <c r="K51" s="2" t="n">
        <v>110</v>
      </c>
      <c r="L51" s="2" t="s">
        <v>466</v>
      </c>
      <c r="M51" s="2" t="n">
        <v>5.131</v>
      </c>
      <c r="N51" s="2" t="n">
        <v>0.3015</v>
      </c>
      <c r="O51" s="4" t="s">
        <v>71</v>
      </c>
      <c r="P51" s="4" t="s">
        <v>39</v>
      </c>
      <c r="Q51" s="2" t="n">
        <f aca="false">M51</f>
        <v>5.131</v>
      </c>
      <c r="R51" s="2" t="n">
        <f aca="false">MAX(0.1,ROUNDUP(ROUND(D51,6)*10,0)/10)</f>
        <v>5.1</v>
      </c>
      <c r="S51" s="2" t="n">
        <f aca="false">MAX(0.1,ROUNDUP(ROUND(Q51,6)*10,0)/10)</f>
        <v>5.2</v>
      </c>
      <c r="T51" s="2" t="str">
        <f aca="false">IF(R51&lt;&gt;S51,"yes","no")</f>
        <v>yes</v>
      </c>
      <c r="U51" s="5" t="s">
        <v>467</v>
      </c>
      <c r="V51" s="2" t="n">
        <v>4.976</v>
      </c>
      <c r="W51" s="2" t="n">
        <f aca="false">MAX(0.1,ROUNDUP(ROUND(V51,6)*10,0)/10)</f>
        <v>5</v>
      </c>
      <c r="X51" s="2" t="str">
        <f aca="false">IF(W51&lt;&gt;S51,"yes","no")</f>
        <v>yes</v>
      </c>
    </row>
    <row r="52" customFormat="false" ht="15" hidden="false" customHeight="false" outlineLevel="0" collapsed="false">
      <c r="A52" s="2" t="n">
        <v>109</v>
      </c>
      <c r="B52" s="2" t="s">
        <v>452</v>
      </c>
      <c r="C52" s="2" t="s">
        <v>39</v>
      </c>
      <c r="D52" s="2" t="n">
        <v>5.055</v>
      </c>
      <c r="E52" s="2" t="s">
        <v>446</v>
      </c>
      <c r="F52" s="2" t="s">
        <v>470</v>
      </c>
      <c r="G52" s="2" t="s">
        <v>463</v>
      </c>
      <c r="H52" s="2" t="n">
        <v>2.45</v>
      </c>
      <c r="I52" s="2" t="n">
        <v>215</v>
      </c>
      <c r="J52" s="2" t="n">
        <v>4775</v>
      </c>
      <c r="K52" s="2" t="n">
        <v>107.5</v>
      </c>
      <c r="L52" s="2" t="s">
        <v>466</v>
      </c>
      <c r="M52" s="2" t="n">
        <v>5.145</v>
      </c>
      <c r="N52" s="2" t="n">
        <v>0.2985</v>
      </c>
      <c r="O52" s="4" t="s">
        <v>71</v>
      </c>
      <c r="P52" s="4" t="s">
        <v>39</v>
      </c>
      <c r="Q52" s="2" t="n">
        <f aca="false">M52</f>
        <v>5.145</v>
      </c>
      <c r="R52" s="2" t="n">
        <f aca="false">MAX(0.1,ROUNDUP(ROUND(D52,6)*10,0)/10)</f>
        <v>5.1</v>
      </c>
      <c r="S52" s="2" t="n">
        <f aca="false">MAX(0.1,ROUNDUP(ROUND(Q52,6)*10,0)/10)</f>
        <v>5.2</v>
      </c>
      <c r="T52" s="2" t="str">
        <f aca="false">IF(R52&lt;&gt;S52,"yes","no")</f>
        <v>yes</v>
      </c>
      <c r="U52" s="5" t="s">
        <v>467</v>
      </c>
      <c r="V52" s="2" t="n">
        <v>4.991</v>
      </c>
      <c r="W52" s="2" t="n">
        <f aca="false">MAX(0.1,ROUNDUP(ROUND(V52,6)*10,0)/10)</f>
        <v>5</v>
      </c>
      <c r="X52" s="2" t="str">
        <f aca="false">IF(W52&lt;&gt;S52,"yes","no")</f>
        <v>yes</v>
      </c>
    </row>
    <row r="53" customFormat="false" ht="15" hidden="false" customHeight="false" outlineLevel="0" collapsed="false">
      <c r="A53" s="2" t="n">
        <v>191</v>
      </c>
      <c r="B53" s="2" t="s">
        <v>449</v>
      </c>
      <c r="C53" s="2" t="s">
        <v>39</v>
      </c>
      <c r="D53" s="2" t="n">
        <v>5.146</v>
      </c>
      <c r="E53" s="2" t="s">
        <v>446</v>
      </c>
      <c r="F53" s="2" t="s">
        <v>262</v>
      </c>
      <c r="G53" s="2" t="s">
        <v>447</v>
      </c>
      <c r="H53" s="2" t="n">
        <v>6.8</v>
      </c>
      <c r="I53" s="2" t="n">
        <v>40</v>
      </c>
      <c r="J53" s="2"/>
      <c r="K53" s="2"/>
      <c r="L53" s="2"/>
      <c r="M53" s="2" t="n">
        <v>5.146</v>
      </c>
      <c r="N53" s="2"/>
      <c r="O53" s="4" t="s">
        <v>71</v>
      </c>
      <c r="P53" s="4" t="s">
        <v>39</v>
      </c>
      <c r="Q53" s="2" t="n">
        <f aca="false">M53</f>
        <v>5.146</v>
      </c>
      <c r="R53" s="2" t="n">
        <f aca="false">MAX(0.1,ROUNDUP(ROUND(D53,6)*10,0)/10)</f>
        <v>5.2</v>
      </c>
      <c r="S53" s="2" t="n">
        <f aca="false">MAX(0.1,ROUNDUP(ROUND(Q53,6)*10,0)/10)</f>
        <v>5.2</v>
      </c>
      <c r="T53" s="2" t="str">
        <f aca="false">IF(R53&lt;&gt;S53,"yes","no")</f>
        <v>no</v>
      </c>
      <c r="U53" s="2"/>
      <c r="V53" s="2" t="n">
        <v>5.146</v>
      </c>
      <c r="W53" s="2" t="n">
        <f aca="false">MAX(0.1,ROUNDUP(ROUND(V53,6)*10,0)/10)</f>
        <v>5.2</v>
      </c>
      <c r="X53" s="2" t="str">
        <f aca="false">IF(W53&lt;&gt;S53,"yes","no")</f>
        <v>no</v>
      </c>
    </row>
    <row r="54" customFormat="false" ht="15" hidden="false" customHeight="false" outlineLevel="0" collapsed="false">
      <c r="A54" s="2" t="n">
        <v>173</v>
      </c>
      <c r="B54" s="2" t="s">
        <v>473</v>
      </c>
      <c r="C54" s="2" t="s">
        <v>450</v>
      </c>
      <c r="D54" s="2" t="n">
        <v>5.17</v>
      </c>
      <c r="E54" s="2" t="s">
        <v>459</v>
      </c>
      <c r="F54" s="2" t="s">
        <v>459</v>
      </c>
      <c r="G54" s="2" t="s">
        <v>447</v>
      </c>
      <c r="H54" s="2" t="n">
        <v>2.575</v>
      </c>
      <c r="I54" s="2" t="n">
        <v>43</v>
      </c>
      <c r="J54" s="2"/>
      <c r="K54" s="2"/>
      <c r="L54" s="2"/>
      <c r="M54" s="2" t="n">
        <v>5.17</v>
      </c>
      <c r="N54" s="2"/>
      <c r="O54" s="4" t="s">
        <v>71</v>
      </c>
      <c r="P54" s="4" t="s">
        <v>450</v>
      </c>
      <c r="Q54" s="2" t="n">
        <f aca="false">M54</f>
        <v>5.17</v>
      </c>
      <c r="R54" s="2" t="n">
        <f aca="false">MAX(0.1,ROUNDUP(ROUND(D54,6)*10,0)/10)</f>
        <v>5.2</v>
      </c>
      <c r="S54" s="2" t="n">
        <f aca="false">MAX(0.1,ROUNDUP(ROUND(Q54,6)*10,0)/10)</f>
        <v>5.2</v>
      </c>
      <c r="T54" s="2" t="str">
        <f aca="false">IF(R54&lt;&gt;S54,"yes","no")</f>
        <v>no</v>
      </c>
      <c r="U54" s="2"/>
      <c r="V54" s="2" t="n">
        <v>5.17</v>
      </c>
      <c r="W54" s="2" t="n">
        <f aca="false">MAX(0.1,ROUNDUP(ROUND(V54,6)*10,0)/10)</f>
        <v>5.2</v>
      </c>
      <c r="X54" s="2" t="str">
        <f aca="false">IF(W54&lt;&gt;S54,"yes","no")</f>
        <v>no</v>
      </c>
    </row>
    <row r="55" customFormat="false" ht="15" hidden="false" customHeight="false" outlineLevel="0" collapsed="false">
      <c r="A55" s="2" t="n">
        <v>144</v>
      </c>
      <c r="B55" s="2" t="s">
        <v>474</v>
      </c>
      <c r="C55" s="2" t="s">
        <v>450</v>
      </c>
      <c r="D55" s="2" t="n">
        <v>5.178</v>
      </c>
      <c r="E55" s="2" t="s">
        <v>451</v>
      </c>
      <c r="F55" s="2" t="s">
        <v>451</v>
      </c>
      <c r="G55" s="2" t="s">
        <v>447</v>
      </c>
      <c r="H55" s="2" t="n">
        <v>2.375</v>
      </c>
      <c r="I55" s="2" t="n">
        <v>37</v>
      </c>
      <c r="J55" s="2"/>
      <c r="K55" s="2"/>
      <c r="L55" s="2"/>
      <c r="M55" s="2" t="n">
        <v>5.178</v>
      </c>
      <c r="N55" s="2"/>
      <c r="O55" s="4" t="s">
        <v>71</v>
      </c>
      <c r="P55" s="4" t="s">
        <v>450</v>
      </c>
      <c r="Q55" s="2" t="n">
        <f aca="false">M55</f>
        <v>5.178</v>
      </c>
      <c r="R55" s="2" t="n">
        <f aca="false">MAX(0.1,ROUNDUP(ROUND(D55,6)*10,0)/10)</f>
        <v>5.2</v>
      </c>
      <c r="S55" s="2" t="n">
        <f aca="false">MAX(0.1,ROUNDUP(ROUND(Q55,6)*10,0)/10)</f>
        <v>5.2</v>
      </c>
      <c r="T55" s="2" t="str">
        <f aca="false">IF(R55&lt;&gt;S55,"yes","no")</f>
        <v>no</v>
      </c>
      <c r="U55" s="2"/>
      <c r="V55" s="2" t="n">
        <v>5.178</v>
      </c>
      <c r="W55" s="2" t="n">
        <f aca="false">MAX(0.1,ROUNDUP(ROUND(V55,6)*10,0)/10)</f>
        <v>5.2</v>
      </c>
      <c r="X55" s="2" t="str">
        <f aca="false">IF(W55&lt;&gt;S55,"yes","no")</f>
        <v>no</v>
      </c>
    </row>
    <row r="56" customFormat="false" ht="15" hidden="false" customHeight="false" outlineLevel="0" collapsed="false">
      <c r="A56" s="2" t="n">
        <v>199</v>
      </c>
      <c r="B56" s="2" t="s">
        <v>454</v>
      </c>
      <c r="C56" s="2" t="s">
        <v>450</v>
      </c>
      <c r="D56" s="2" t="n">
        <v>5.188</v>
      </c>
      <c r="E56" s="2" t="s">
        <v>482</v>
      </c>
      <c r="F56" s="2" t="s">
        <v>482</v>
      </c>
      <c r="G56" s="2" t="s">
        <v>447</v>
      </c>
      <c r="H56" s="2" t="n">
        <v>4.95</v>
      </c>
      <c r="I56" s="2" t="n">
        <v>47</v>
      </c>
      <c r="J56" s="2"/>
      <c r="K56" s="2"/>
      <c r="L56" s="2"/>
      <c r="M56" s="2" t="n">
        <v>5.188</v>
      </c>
      <c r="N56" s="2"/>
      <c r="O56" s="4" t="s">
        <v>71</v>
      </c>
      <c r="P56" s="4" t="s">
        <v>450</v>
      </c>
      <c r="Q56" s="2" t="n">
        <f aca="false">M56</f>
        <v>5.188</v>
      </c>
      <c r="R56" s="2" t="n">
        <f aca="false">MAX(0.1,ROUNDUP(ROUND(D56,6)*10,0)/10)</f>
        <v>5.2</v>
      </c>
      <c r="S56" s="2" t="n">
        <f aca="false">MAX(0.1,ROUNDUP(ROUND(Q56,6)*10,0)/10)</f>
        <v>5.2</v>
      </c>
      <c r="T56" s="2" t="str">
        <f aca="false">IF(R56&lt;&gt;S56,"yes","no")</f>
        <v>no</v>
      </c>
      <c r="U56" s="2"/>
      <c r="V56" s="2" t="n">
        <v>5.188</v>
      </c>
      <c r="W56" s="2" t="n">
        <f aca="false">MAX(0.1,ROUNDUP(ROUND(V56,6)*10,0)/10)</f>
        <v>5.2</v>
      </c>
      <c r="X56" s="2" t="str">
        <f aca="false">IF(W56&lt;&gt;S56,"yes","no")</f>
        <v>no</v>
      </c>
    </row>
    <row r="57" customFormat="false" ht="15" hidden="false" customHeight="false" outlineLevel="0" collapsed="false">
      <c r="A57" s="2" t="n">
        <v>182</v>
      </c>
      <c r="B57" s="2" t="s">
        <v>461</v>
      </c>
      <c r="C57" s="2" t="s">
        <v>450</v>
      </c>
      <c r="D57" s="2" t="n">
        <v>5.247</v>
      </c>
      <c r="E57" s="2" t="s">
        <v>459</v>
      </c>
      <c r="F57" s="2" t="s">
        <v>459</v>
      </c>
      <c r="G57" s="2" t="s">
        <v>447</v>
      </c>
      <c r="H57" s="2" t="n">
        <v>3.875</v>
      </c>
      <c r="I57" s="2" t="n">
        <v>41</v>
      </c>
      <c r="J57" s="2"/>
      <c r="K57" s="2"/>
      <c r="L57" s="2"/>
      <c r="M57" s="2" t="n">
        <v>5.247</v>
      </c>
      <c r="N57" s="2"/>
      <c r="O57" s="4" t="s">
        <v>71</v>
      </c>
      <c r="P57" s="4" t="s">
        <v>450</v>
      </c>
      <c r="Q57" s="2" t="n">
        <f aca="false">M57</f>
        <v>5.247</v>
      </c>
      <c r="R57" s="2" t="n">
        <f aca="false">MAX(0.1,ROUNDUP(ROUND(D57,6)*10,0)/10)</f>
        <v>5.3</v>
      </c>
      <c r="S57" s="2" t="n">
        <f aca="false">MAX(0.1,ROUNDUP(ROUND(Q57,6)*10,0)/10)</f>
        <v>5.3</v>
      </c>
      <c r="T57" s="2" t="str">
        <f aca="false">IF(R57&lt;&gt;S57,"yes","no")</f>
        <v>no</v>
      </c>
      <c r="U57" s="2"/>
      <c r="V57" s="2" t="n">
        <v>5.247</v>
      </c>
      <c r="W57" s="2" t="n">
        <f aca="false">MAX(0.1,ROUNDUP(ROUND(V57,6)*10,0)/10)</f>
        <v>5.3</v>
      </c>
      <c r="X57" s="2" t="str">
        <f aca="false">IF(W57&lt;&gt;S57,"yes","no")</f>
        <v>no</v>
      </c>
    </row>
    <row r="58" customFormat="false" ht="15" hidden="false" customHeight="false" outlineLevel="0" collapsed="false">
      <c r="A58" s="2" t="n">
        <v>224</v>
      </c>
      <c r="B58" s="2" t="s">
        <v>483</v>
      </c>
      <c r="C58" s="2" t="s">
        <v>39</v>
      </c>
      <c r="D58" s="2" t="n">
        <v>5.34</v>
      </c>
      <c r="E58" s="2" t="s">
        <v>446</v>
      </c>
      <c r="F58" s="2" t="s">
        <v>262</v>
      </c>
      <c r="G58" s="2" t="s">
        <v>463</v>
      </c>
      <c r="H58" s="2" t="n">
        <v>2</v>
      </c>
      <c r="I58" s="2" t="n">
        <v>110</v>
      </c>
      <c r="J58" s="2" t="n">
        <v>4990</v>
      </c>
      <c r="K58" s="2" t="n">
        <v>80</v>
      </c>
      <c r="L58" s="2" t="s">
        <v>464</v>
      </c>
      <c r="M58" s="2" t="n">
        <v>5.406</v>
      </c>
      <c r="N58" s="2" t="n">
        <v>0.238</v>
      </c>
      <c r="O58" s="4" t="s">
        <v>71</v>
      </c>
      <c r="P58" s="4" t="s">
        <v>39</v>
      </c>
      <c r="Q58" s="2" t="n">
        <f aca="false">M58</f>
        <v>5.406</v>
      </c>
      <c r="R58" s="2" t="n">
        <f aca="false">MAX(0.1,ROUNDUP(ROUND(D58,6)*10,0)/10)</f>
        <v>5.4</v>
      </c>
      <c r="S58" s="2" t="n">
        <f aca="false">MAX(0.1,ROUNDUP(ROUND(Q58,6)*10,0)/10)</f>
        <v>5.5</v>
      </c>
      <c r="T58" s="2" t="str">
        <f aca="false">IF(R58&lt;&gt;S58,"yes","no")</f>
        <v>yes</v>
      </c>
      <c r="U58" s="2"/>
      <c r="V58" s="2" t="n">
        <v>5.246</v>
      </c>
      <c r="W58" s="2" t="n">
        <f aca="false">MAX(0.1,ROUNDUP(ROUND(V58,6)*10,0)/10)</f>
        <v>5.3</v>
      </c>
      <c r="X58" s="2" t="str">
        <f aca="false">IF(W58&lt;&gt;S58,"yes","no")</f>
        <v>yes</v>
      </c>
    </row>
    <row r="59" customFormat="false" ht="15" hidden="false" customHeight="false" outlineLevel="0" collapsed="false">
      <c r="A59" s="2" t="n">
        <v>214</v>
      </c>
      <c r="B59" s="2" t="s">
        <v>460</v>
      </c>
      <c r="C59" s="2" t="s">
        <v>39</v>
      </c>
      <c r="D59" s="2" t="n">
        <v>5.34</v>
      </c>
      <c r="E59" s="2" t="s">
        <v>446</v>
      </c>
      <c r="F59" s="2" t="s">
        <v>262</v>
      </c>
      <c r="G59" s="2" t="s">
        <v>463</v>
      </c>
      <c r="H59" s="2" t="n">
        <v>11.05</v>
      </c>
      <c r="I59" s="2" t="n">
        <v>210</v>
      </c>
      <c r="J59" s="2" t="n">
        <v>4990</v>
      </c>
      <c r="K59" s="2" t="n">
        <v>80</v>
      </c>
      <c r="L59" s="2" t="s">
        <v>464</v>
      </c>
      <c r="M59" s="2" t="n">
        <v>5.406</v>
      </c>
      <c r="N59" s="2" t="n">
        <v>0.238</v>
      </c>
      <c r="O59" s="4" t="s">
        <v>71</v>
      </c>
      <c r="P59" s="4" t="s">
        <v>39</v>
      </c>
      <c r="Q59" s="2" t="n">
        <f aca="false">M59</f>
        <v>5.406</v>
      </c>
      <c r="R59" s="2" t="n">
        <f aca="false">MAX(0.1,ROUNDUP(ROUND(D59,6)*10,0)/10)</f>
        <v>5.4</v>
      </c>
      <c r="S59" s="2" t="n">
        <f aca="false">MAX(0.1,ROUNDUP(ROUND(Q59,6)*10,0)/10)</f>
        <v>5.5</v>
      </c>
      <c r="T59" s="2" t="str">
        <f aca="false">IF(R59&lt;&gt;S59,"yes","no")</f>
        <v>yes</v>
      </c>
      <c r="U59" s="2"/>
      <c r="V59" s="2" t="n">
        <v>5.246</v>
      </c>
      <c r="W59" s="2" t="n">
        <f aca="false">MAX(0.1,ROUNDUP(ROUND(V59,6)*10,0)/10)</f>
        <v>5.3</v>
      </c>
      <c r="X59" s="2" t="str">
        <f aca="false">IF(W59&lt;&gt;S59,"yes","no")</f>
        <v>yes</v>
      </c>
    </row>
    <row r="60" customFormat="false" ht="15" hidden="false" customHeight="false" outlineLevel="0" collapsed="false">
      <c r="A60" s="2" t="n">
        <v>220</v>
      </c>
      <c r="B60" s="2" t="s">
        <v>453</v>
      </c>
      <c r="C60" s="2" t="s">
        <v>39</v>
      </c>
      <c r="D60" s="2" t="n">
        <v>5.39</v>
      </c>
      <c r="E60" s="2" t="s">
        <v>446</v>
      </c>
      <c r="F60" s="2" t="s">
        <v>262</v>
      </c>
      <c r="G60" s="2" t="s">
        <v>463</v>
      </c>
      <c r="H60" s="2" t="n">
        <v>2.225</v>
      </c>
      <c r="I60" s="2" t="n">
        <v>180</v>
      </c>
      <c r="J60" s="2" t="n">
        <v>5010</v>
      </c>
      <c r="K60" s="2" t="n">
        <v>80</v>
      </c>
      <c r="L60" s="2" t="s">
        <v>464</v>
      </c>
      <c r="M60" s="2" t="n">
        <v>5.427</v>
      </c>
      <c r="N60" s="2" t="n">
        <v>0.2335</v>
      </c>
      <c r="O60" s="4" t="s">
        <v>71</v>
      </c>
      <c r="P60" s="4" t="s">
        <v>39</v>
      </c>
      <c r="Q60" s="2" t="n">
        <f aca="false">M60</f>
        <v>5.427</v>
      </c>
      <c r="R60" s="2" t="n">
        <f aca="false">MAX(0.1,ROUNDUP(ROUND(D60,6)*10,0)/10)</f>
        <v>5.4</v>
      </c>
      <c r="S60" s="2" t="n">
        <f aca="false">MAX(0.1,ROUNDUP(ROUND(Q60,6)*10,0)/10)</f>
        <v>5.5</v>
      </c>
      <c r="T60" s="2" t="str">
        <f aca="false">IF(R60&lt;&gt;S60,"yes","no")</f>
        <v>yes</v>
      </c>
      <c r="U60" s="2"/>
      <c r="V60" s="2" t="n">
        <v>5.272</v>
      </c>
      <c r="W60" s="2" t="n">
        <f aca="false">MAX(0.1,ROUNDUP(ROUND(V60,6)*10,0)/10)</f>
        <v>5.3</v>
      </c>
      <c r="X60" s="2" t="str">
        <f aca="false">IF(W60&lt;&gt;S60,"yes","no")</f>
        <v>yes</v>
      </c>
    </row>
    <row r="61" customFormat="false" ht="15" hidden="false" customHeight="false" outlineLevel="0" collapsed="false">
      <c r="A61" s="2" t="n">
        <v>174</v>
      </c>
      <c r="B61" s="2" t="s">
        <v>473</v>
      </c>
      <c r="C61" s="2" t="s">
        <v>39</v>
      </c>
      <c r="D61" s="2" t="n">
        <v>5.538</v>
      </c>
      <c r="E61" s="2" t="s">
        <v>446</v>
      </c>
      <c r="F61" s="2" t="s">
        <v>262</v>
      </c>
      <c r="G61" s="2" t="s">
        <v>447</v>
      </c>
      <c r="H61" s="2" t="n">
        <v>5.15</v>
      </c>
      <c r="I61" s="2" t="n">
        <v>48</v>
      </c>
      <c r="J61" s="2"/>
      <c r="K61" s="2"/>
      <c r="L61" s="2"/>
      <c r="M61" s="2" t="n">
        <v>5.538</v>
      </c>
      <c r="N61" s="2"/>
      <c r="O61" s="4" t="s">
        <v>71</v>
      </c>
      <c r="P61" s="4" t="s">
        <v>39</v>
      </c>
      <c r="Q61" s="2" t="n">
        <f aca="false">M61</f>
        <v>5.538</v>
      </c>
      <c r="R61" s="2" t="n">
        <f aca="false">MAX(0.1,ROUNDUP(ROUND(D61,6)*10,0)/10)</f>
        <v>5.6</v>
      </c>
      <c r="S61" s="2" t="n">
        <f aca="false">MAX(0.1,ROUNDUP(ROUND(Q61,6)*10,0)/10)</f>
        <v>5.6</v>
      </c>
      <c r="T61" s="2" t="str">
        <f aca="false">IF(R61&lt;&gt;S61,"yes","no")</f>
        <v>no</v>
      </c>
      <c r="U61" s="2"/>
      <c r="V61" s="2" t="n">
        <v>5.538</v>
      </c>
      <c r="W61" s="2" t="n">
        <f aca="false">MAX(0.1,ROUNDUP(ROUND(V61,6)*10,0)/10)</f>
        <v>5.6</v>
      </c>
      <c r="X61" s="2" t="str">
        <f aca="false">IF(W61&lt;&gt;S61,"yes","no")</f>
        <v>no</v>
      </c>
    </row>
    <row r="62" customFormat="false" ht="15" hidden="false" customHeight="false" outlineLevel="0" collapsed="false">
      <c r="A62" s="2" t="n">
        <v>110</v>
      </c>
      <c r="B62" s="2" t="s">
        <v>452</v>
      </c>
      <c r="C62" s="2" t="s">
        <v>39</v>
      </c>
      <c r="D62" s="2" t="n">
        <v>5.541</v>
      </c>
      <c r="E62" s="2" t="s">
        <v>446</v>
      </c>
      <c r="F62" s="2" t="s">
        <v>262</v>
      </c>
      <c r="G62" s="2" t="s">
        <v>447</v>
      </c>
      <c r="H62" s="2" t="n">
        <v>3.55</v>
      </c>
      <c r="I62" s="2" t="n">
        <v>41</v>
      </c>
      <c r="J62" s="2"/>
      <c r="K62" s="2"/>
      <c r="L62" s="2"/>
      <c r="M62" s="2" t="n">
        <v>5.541</v>
      </c>
      <c r="N62" s="2"/>
      <c r="O62" s="4" t="s">
        <v>71</v>
      </c>
      <c r="P62" s="4" t="s">
        <v>39</v>
      </c>
      <c r="Q62" s="2" t="n">
        <f aca="false">M62</f>
        <v>5.541</v>
      </c>
      <c r="R62" s="2" t="n">
        <f aca="false">MAX(0.1,ROUNDUP(ROUND(D62,6)*10,0)/10)</f>
        <v>5.6</v>
      </c>
      <c r="S62" s="2" t="n">
        <f aca="false">MAX(0.1,ROUNDUP(ROUND(Q62,6)*10,0)/10)</f>
        <v>5.6</v>
      </c>
      <c r="T62" s="2" t="str">
        <f aca="false">IF(R62&lt;&gt;S62,"yes","no")</f>
        <v>no</v>
      </c>
      <c r="U62" s="2"/>
      <c r="V62" s="2" t="n">
        <v>5.541</v>
      </c>
      <c r="W62" s="2" t="n">
        <f aca="false">MAX(0.1,ROUNDUP(ROUND(V62,6)*10,0)/10)</f>
        <v>5.6</v>
      </c>
      <c r="X62" s="2" t="str">
        <f aca="false">IF(W62&lt;&gt;S62,"yes","no")</f>
        <v>no</v>
      </c>
    </row>
    <row r="63" customFormat="false" ht="15" hidden="false" customHeight="false" outlineLevel="0" collapsed="false">
      <c r="A63" s="2" t="n">
        <v>116</v>
      </c>
      <c r="B63" s="2" t="s">
        <v>484</v>
      </c>
      <c r="C63" s="2" t="s">
        <v>450</v>
      </c>
      <c r="D63" s="2" t="n">
        <v>5.575</v>
      </c>
      <c r="E63" s="2" t="s">
        <v>459</v>
      </c>
      <c r="F63" s="2"/>
      <c r="G63" s="2" t="s">
        <v>463</v>
      </c>
      <c r="H63" s="2" t="n">
        <v>4.625</v>
      </c>
      <c r="I63" s="2" t="n">
        <v>135</v>
      </c>
      <c r="J63" s="2" t="n">
        <v>5216</v>
      </c>
      <c r="K63" s="2" t="n">
        <v>67.5</v>
      </c>
      <c r="L63" s="2" t="s">
        <v>466</v>
      </c>
      <c r="M63" s="2" t="n">
        <v>5.649</v>
      </c>
      <c r="N63" s="2" t="n">
        <v>0.2105</v>
      </c>
      <c r="O63" s="4" t="s">
        <v>71</v>
      </c>
      <c r="P63" s="4" t="s">
        <v>450</v>
      </c>
      <c r="Q63" s="2" t="n">
        <f aca="false">M63</f>
        <v>5.649</v>
      </c>
      <c r="R63" s="2" t="n">
        <f aca="false">MAX(0.1,ROUNDUP(ROUND(D63,6)*10,0)/10)</f>
        <v>5.6</v>
      </c>
      <c r="S63" s="2" t="n">
        <f aca="false">MAX(0.1,ROUNDUP(ROUND(Q63,6)*10,0)/10)</f>
        <v>5.7</v>
      </c>
      <c r="T63" s="2" t="str">
        <f aca="false">IF(R63&lt;&gt;S63,"yes","no")</f>
        <v>yes</v>
      </c>
      <c r="U63" s="5" t="s">
        <v>467</v>
      </c>
      <c r="V63" s="2" t="n">
        <v>5.502</v>
      </c>
      <c r="W63" s="2" t="n">
        <f aca="false">MAX(0.1,ROUNDUP(ROUND(V63,6)*10,0)/10)</f>
        <v>5.6</v>
      </c>
      <c r="X63" s="2" t="str">
        <f aca="false">IF(W63&lt;&gt;S63,"yes","no")</f>
        <v>yes</v>
      </c>
    </row>
    <row r="64" customFormat="false" ht="15" hidden="false" customHeight="false" outlineLevel="0" collapsed="false">
      <c r="A64" s="2" t="n">
        <v>192</v>
      </c>
      <c r="B64" s="2" t="s">
        <v>449</v>
      </c>
      <c r="C64" s="2" t="s">
        <v>450</v>
      </c>
      <c r="D64" s="2" t="n">
        <v>5.81</v>
      </c>
      <c r="E64" s="2" t="s">
        <v>459</v>
      </c>
      <c r="F64" s="2" t="s">
        <v>305</v>
      </c>
      <c r="G64" s="2" t="s">
        <v>463</v>
      </c>
      <c r="H64" s="2" t="n">
        <v>8.05</v>
      </c>
      <c r="I64" s="2" t="n">
        <v>190</v>
      </c>
      <c r="J64" s="2" t="n">
        <v>5450</v>
      </c>
      <c r="K64" s="2" t="n">
        <v>90</v>
      </c>
      <c r="L64" s="2" t="s">
        <v>464</v>
      </c>
      <c r="M64" s="2" t="n">
        <v>5.9</v>
      </c>
      <c r="N64" s="2" t="n">
        <v>0.26</v>
      </c>
      <c r="O64" s="4" t="s">
        <v>71</v>
      </c>
      <c r="P64" s="4" t="s">
        <v>450</v>
      </c>
      <c r="Q64" s="2" t="n">
        <f aca="false">M64</f>
        <v>5.9</v>
      </c>
      <c r="R64" s="2" t="n">
        <f aca="false">MAX(0.1,ROUNDUP(ROUND(D64,6)*10,0)/10)</f>
        <v>5.9</v>
      </c>
      <c r="S64" s="2" t="n">
        <f aca="false">MAX(0.1,ROUNDUP(ROUND(Q64,6)*10,0)/10)</f>
        <v>5.9</v>
      </c>
      <c r="T64" s="2" t="str">
        <f aca="false">IF(R64&lt;&gt;S64,"yes","no")</f>
        <v>no</v>
      </c>
      <c r="U64" s="2"/>
      <c r="V64" s="2" t="n">
        <v>5.754</v>
      </c>
      <c r="W64" s="2" t="n">
        <f aca="false">MAX(0.1,ROUNDUP(ROUND(V64,6)*10,0)/10)</f>
        <v>5.8</v>
      </c>
      <c r="X64" s="2" t="str">
        <f aca="false">IF(W64&lt;&gt;S64,"yes","no")</f>
        <v>yes</v>
      </c>
    </row>
    <row r="65" customFormat="false" ht="15" hidden="false" customHeight="false" outlineLevel="0" collapsed="false">
      <c r="A65" s="2" t="n">
        <v>200</v>
      </c>
      <c r="B65" s="2" t="s">
        <v>454</v>
      </c>
      <c r="C65" s="2" t="s">
        <v>450</v>
      </c>
      <c r="D65" s="2" t="n">
        <v>5.85</v>
      </c>
      <c r="E65" s="2" t="s">
        <v>459</v>
      </c>
      <c r="F65" s="2" t="s">
        <v>305</v>
      </c>
      <c r="G65" s="2" t="s">
        <v>463</v>
      </c>
      <c r="H65" s="2" t="n">
        <v>6.6</v>
      </c>
      <c r="I65" s="2" t="n">
        <v>170</v>
      </c>
      <c r="J65" s="2" t="n">
        <v>5480</v>
      </c>
      <c r="K65" s="2" t="n">
        <v>80</v>
      </c>
      <c r="L65" s="2" t="s">
        <v>464</v>
      </c>
      <c r="M65" s="2" t="n">
        <v>5.936</v>
      </c>
      <c r="N65" s="2" t="n">
        <v>0.243</v>
      </c>
      <c r="O65" s="4" t="s">
        <v>71</v>
      </c>
      <c r="P65" s="4" t="s">
        <v>450</v>
      </c>
      <c r="Q65" s="2" t="n">
        <f aca="false">M65</f>
        <v>5.936</v>
      </c>
      <c r="R65" s="2" t="n">
        <f aca="false">MAX(0.1,ROUNDUP(ROUND(D65,6)*10,0)/10)</f>
        <v>5.9</v>
      </c>
      <c r="S65" s="2" t="n">
        <f aca="false">MAX(0.1,ROUNDUP(ROUND(Q65,6)*10,0)/10)</f>
        <v>6</v>
      </c>
      <c r="T65" s="2" t="str">
        <f aca="false">IF(R65&lt;&gt;S65,"yes","no")</f>
        <v>yes</v>
      </c>
      <c r="U65" s="2"/>
      <c r="V65" s="2" t="n">
        <v>5.784</v>
      </c>
      <c r="W65" s="2" t="n">
        <f aca="false">MAX(0.1,ROUNDUP(ROUND(V65,6)*10,0)/10)</f>
        <v>5.8</v>
      </c>
      <c r="X65" s="2" t="str">
        <f aca="false">IF(W65&lt;&gt;S65,"yes","no")</f>
        <v>yes</v>
      </c>
    </row>
    <row r="66" customFormat="false" ht="15" hidden="false" customHeight="false" outlineLevel="0" collapsed="false">
      <c r="A66" s="2" t="n">
        <v>127</v>
      </c>
      <c r="B66" s="2" t="s">
        <v>465</v>
      </c>
      <c r="C66" s="2" t="s">
        <v>450</v>
      </c>
      <c r="D66" s="2" t="n">
        <v>5.968</v>
      </c>
      <c r="E66" s="2" t="s">
        <v>462</v>
      </c>
      <c r="F66" s="2" t="s">
        <v>462</v>
      </c>
      <c r="G66" s="2" t="s">
        <v>447</v>
      </c>
      <c r="H66" s="2" t="n">
        <v>3.125</v>
      </c>
      <c r="I66" s="2" t="n">
        <v>52</v>
      </c>
      <c r="J66" s="2"/>
      <c r="K66" s="2"/>
      <c r="L66" s="2"/>
      <c r="M66" s="2" t="n">
        <v>5.968</v>
      </c>
      <c r="N66" s="2"/>
      <c r="O66" s="4" t="s">
        <v>71</v>
      </c>
      <c r="P66" s="4" t="s">
        <v>450</v>
      </c>
      <c r="Q66" s="2" t="n">
        <f aca="false">M66</f>
        <v>5.968</v>
      </c>
      <c r="R66" s="2" t="n">
        <f aca="false">MAX(0.1,ROUNDUP(ROUND(D66,6)*10,0)/10)</f>
        <v>6</v>
      </c>
      <c r="S66" s="2" t="n">
        <f aca="false">MAX(0.1,ROUNDUP(ROUND(Q66,6)*10,0)/10)</f>
        <v>6</v>
      </c>
      <c r="T66" s="2" t="str">
        <f aca="false">IF(R66&lt;&gt;S66,"yes","no")</f>
        <v>no</v>
      </c>
      <c r="U66" s="2"/>
      <c r="V66" s="2" t="n">
        <v>5.968</v>
      </c>
      <c r="W66" s="2" t="n">
        <f aca="false">MAX(0.1,ROUNDUP(ROUND(V66,6)*10,0)/10)</f>
        <v>6</v>
      </c>
      <c r="X66" s="2" t="str">
        <f aca="false">IF(W66&lt;&gt;S66,"yes","no")</f>
        <v>no</v>
      </c>
    </row>
    <row r="67" customFormat="false" ht="15" hidden="false" customHeight="false" outlineLevel="0" collapsed="false">
      <c r="A67" s="2" t="n">
        <v>205</v>
      </c>
      <c r="B67" s="2" t="s">
        <v>471</v>
      </c>
      <c r="C67" s="2" t="s">
        <v>39</v>
      </c>
      <c r="D67" s="2" t="n">
        <v>6</v>
      </c>
      <c r="E67" s="2" t="s">
        <v>446</v>
      </c>
      <c r="F67" s="2" t="s">
        <v>262</v>
      </c>
      <c r="G67" s="2" t="s">
        <v>463</v>
      </c>
      <c r="H67" s="2" t="n">
        <v>8.2</v>
      </c>
      <c r="I67" s="2" t="n">
        <v>170</v>
      </c>
      <c r="J67" s="2" t="n">
        <v>5580</v>
      </c>
      <c r="K67" s="2" t="n">
        <v>80</v>
      </c>
      <c r="L67" s="2" t="s">
        <v>464</v>
      </c>
      <c r="M67" s="2" t="n">
        <v>6.045</v>
      </c>
      <c r="N67" s="2" t="n">
        <v>0.23</v>
      </c>
      <c r="O67" s="4" t="s">
        <v>71</v>
      </c>
      <c r="P67" s="4" t="s">
        <v>39</v>
      </c>
      <c r="Q67" s="2" t="n">
        <f aca="false">M67</f>
        <v>6.045</v>
      </c>
      <c r="R67" s="2" t="n">
        <f aca="false">MAX(0.1,ROUNDUP(ROUND(D67,6)*10,0)/10)</f>
        <v>6</v>
      </c>
      <c r="S67" s="2" t="n">
        <f aca="false">MAX(0.1,ROUNDUP(ROUND(Q67,6)*10,0)/10)</f>
        <v>6.1</v>
      </c>
      <c r="T67" s="2" t="str">
        <f aca="false">IF(R67&lt;&gt;S67,"yes","no")</f>
        <v>yes</v>
      </c>
      <c r="U67" s="2"/>
      <c r="V67" s="2" t="n">
        <v>5.895</v>
      </c>
      <c r="W67" s="2" t="n">
        <f aca="false">MAX(0.1,ROUNDUP(ROUND(V67,6)*10,0)/10)</f>
        <v>5.9</v>
      </c>
      <c r="X67" s="2" t="str">
        <f aca="false">IF(W67&lt;&gt;S67,"yes","no")</f>
        <v>yes</v>
      </c>
    </row>
    <row r="68" customFormat="false" ht="15" hidden="false" customHeight="false" outlineLevel="0" collapsed="false">
      <c r="A68" s="2" t="n">
        <v>183</v>
      </c>
      <c r="B68" s="2" t="s">
        <v>461</v>
      </c>
      <c r="C68" s="2" t="s">
        <v>39</v>
      </c>
      <c r="D68" s="2" t="n">
        <v>6.135</v>
      </c>
      <c r="E68" s="2" t="s">
        <v>446</v>
      </c>
      <c r="F68" s="2" t="s">
        <v>485</v>
      </c>
      <c r="G68" s="2" t="s">
        <v>463</v>
      </c>
      <c r="H68" s="2" t="n">
        <v>6.875</v>
      </c>
      <c r="I68" s="2" t="n">
        <v>155</v>
      </c>
      <c r="J68" s="2" t="n">
        <v>5740</v>
      </c>
      <c r="K68" s="2" t="n">
        <v>70</v>
      </c>
      <c r="L68" s="2" t="s">
        <v>464</v>
      </c>
      <c r="M68" s="2" t="n">
        <v>6.212</v>
      </c>
      <c r="N68" s="2" t="n">
        <v>0.2165</v>
      </c>
      <c r="O68" s="4" t="s">
        <v>71</v>
      </c>
      <c r="P68" s="4" t="s">
        <v>39</v>
      </c>
      <c r="Q68" s="2" t="n">
        <f aca="false">M68</f>
        <v>6.212</v>
      </c>
      <c r="R68" s="2" t="n">
        <f aca="false">MAX(0.1,ROUNDUP(ROUND(D68,6)*10,0)/10)</f>
        <v>6.2</v>
      </c>
      <c r="S68" s="2" t="n">
        <f aca="false">MAX(0.1,ROUNDUP(ROUND(Q68,6)*10,0)/10)</f>
        <v>6.3</v>
      </c>
      <c r="T68" s="2" t="str">
        <f aca="false">IF(R68&lt;&gt;S68,"yes","no")</f>
        <v>yes</v>
      </c>
      <c r="U68" s="5" t="s">
        <v>486</v>
      </c>
      <c r="V68" s="2" t="n">
        <v>6.07</v>
      </c>
      <c r="W68" s="2" t="n">
        <f aca="false">MAX(0.1,ROUNDUP(ROUND(V68,6)*10,0)/10)</f>
        <v>6.1</v>
      </c>
      <c r="X68" s="2" t="str">
        <f aca="false">IF(W68&lt;&gt;S68,"yes","no")</f>
        <v>yes</v>
      </c>
    </row>
    <row r="69" customFormat="false" ht="15" hidden="false" customHeight="false" outlineLevel="0" collapsed="false">
      <c r="A69" s="2" t="n">
        <v>221</v>
      </c>
      <c r="B69" s="2" t="s">
        <v>453</v>
      </c>
      <c r="C69" s="2" t="s">
        <v>39</v>
      </c>
      <c r="D69" s="2" t="n">
        <v>6.22</v>
      </c>
      <c r="E69" s="2" t="s">
        <v>446</v>
      </c>
      <c r="F69" s="2" t="s">
        <v>262</v>
      </c>
      <c r="G69" s="2" t="s">
        <v>463</v>
      </c>
      <c r="H69" s="2" t="n">
        <v>3.975</v>
      </c>
      <c r="I69" s="2" t="n">
        <v>170</v>
      </c>
      <c r="J69" s="2" t="n">
        <v>5810</v>
      </c>
      <c r="K69" s="2" t="n">
        <v>80</v>
      </c>
      <c r="L69" s="2" t="s">
        <v>464</v>
      </c>
      <c r="M69" s="2" t="n">
        <v>6.288</v>
      </c>
      <c r="N69" s="2" t="n">
        <v>0.2395</v>
      </c>
      <c r="O69" s="4" t="s">
        <v>71</v>
      </c>
      <c r="P69" s="4" t="s">
        <v>39</v>
      </c>
      <c r="Q69" s="2" t="n">
        <f aca="false">M69</f>
        <v>6.288</v>
      </c>
      <c r="R69" s="2" t="n">
        <f aca="false">MAX(0.1,ROUNDUP(ROUND(D69,6)*10,0)/10)</f>
        <v>6.3</v>
      </c>
      <c r="S69" s="2" t="n">
        <f aca="false">MAX(0.1,ROUNDUP(ROUND(Q69,6)*10,0)/10)</f>
        <v>6.3</v>
      </c>
      <c r="T69" s="2" t="str">
        <f aca="false">IF(R69&lt;&gt;S69,"yes","no")</f>
        <v>no</v>
      </c>
      <c r="U69" s="2"/>
      <c r="V69" s="2" t="n">
        <v>6.14</v>
      </c>
      <c r="W69" s="2" t="n">
        <f aca="false">MAX(0.1,ROUNDUP(ROUND(V69,6)*10,0)/10)</f>
        <v>6.2</v>
      </c>
      <c r="X69" s="2" t="str">
        <f aca="false">IF(W69&lt;&gt;S69,"yes","no")</f>
        <v>yes</v>
      </c>
    </row>
    <row r="70" customFormat="false" ht="15" hidden="false" customHeight="false" outlineLevel="0" collapsed="false">
      <c r="A70" s="2" t="n">
        <v>206</v>
      </c>
      <c r="B70" s="2" t="s">
        <v>471</v>
      </c>
      <c r="C70" s="2" t="s">
        <v>39</v>
      </c>
      <c r="D70" s="2" t="n">
        <v>6.252</v>
      </c>
      <c r="E70" s="2" t="s">
        <v>446</v>
      </c>
      <c r="F70" s="2" t="s">
        <v>262</v>
      </c>
      <c r="G70" s="2" t="s">
        <v>447</v>
      </c>
      <c r="H70" s="2" t="n">
        <v>9.75</v>
      </c>
      <c r="I70" s="2" t="n">
        <v>44</v>
      </c>
      <c r="J70" s="2"/>
      <c r="K70" s="2"/>
      <c r="L70" s="2"/>
      <c r="M70" s="2" t="n">
        <v>6.252</v>
      </c>
      <c r="N70" s="2"/>
      <c r="O70" s="4" t="s">
        <v>71</v>
      </c>
      <c r="P70" s="4" t="s">
        <v>39</v>
      </c>
      <c r="Q70" s="2" t="n">
        <f aca="false">M70</f>
        <v>6.252</v>
      </c>
      <c r="R70" s="2" t="n">
        <f aca="false">MAX(0.1,ROUNDUP(ROUND(D70,6)*10,0)/10)</f>
        <v>6.3</v>
      </c>
      <c r="S70" s="2" t="n">
        <f aca="false">MAX(0.1,ROUNDUP(ROUND(Q70,6)*10,0)/10)</f>
        <v>6.3</v>
      </c>
      <c r="T70" s="2" t="str">
        <f aca="false">IF(R70&lt;&gt;S70,"yes","no")</f>
        <v>no</v>
      </c>
      <c r="U70" s="2"/>
      <c r="V70" s="2" t="n">
        <v>6.252</v>
      </c>
      <c r="W70" s="2" t="n">
        <f aca="false">MAX(0.1,ROUNDUP(ROUND(V70,6)*10,0)/10)</f>
        <v>6.3</v>
      </c>
      <c r="X70" s="2" t="str">
        <f aca="false">IF(W70&lt;&gt;S70,"yes","no")</f>
        <v>no</v>
      </c>
    </row>
    <row r="71" customFormat="false" ht="15" hidden="false" customHeight="false" outlineLevel="0" collapsed="false">
      <c r="A71" s="2" t="n">
        <v>193</v>
      </c>
      <c r="B71" s="2" t="s">
        <v>449</v>
      </c>
      <c r="C71" s="2" t="s">
        <v>450</v>
      </c>
      <c r="D71" s="2" t="n">
        <v>6.259</v>
      </c>
      <c r="E71" s="2" t="s">
        <v>459</v>
      </c>
      <c r="F71" s="2"/>
      <c r="G71" s="2" t="s">
        <v>480</v>
      </c>
      <c r="H71" s="2" t="n">
        <v>8.4</v>
      </c>
      <c r="I71" s="2" t="n">
        <v>48</v>
      </c>
      <c r="J71" s="2"/>
      <c r="K71" s="2"/>
      <c r="L71" s="2"/>
      <c r="M71" s="2" t="n">
        <v>6.259</v>
      </c>
      <c r="N71" s="2"/>
      <c r="O71" s="4" t="s">
        <v>71</v>
      </c>
      <c r="P71" s="4" t="s">
        <v>450</v>
      </c>
      <c r="Q71" s="2" t="n">
        <f aca="false">M71</f>
        <v>6.259</v>
      </c>
      <c r="R71" s="2" t="n">
        <f aca="false">MAX(0.1,ROUNDUP(ROUND(D71,6)*10,0)/10)</f>
        <v>6.3</v>
      </c>
      <c r="S71" s="2" t="n">
        <f aca="false">MAX(0.1,ROUNDUP(ROUND(Q71,6)*10,0)/10)</f>
        <v>6.3</v>
      </c>
      <c r="T71" s="2" t="str">
        <f aca="false">IF(R71&lt;&gt;S71,"yes","no")</f>
        <v>no</v>
      </c>
      <c r="U71" s="2"/>
      <c r="V71" s="2" t="n">
        <v>6.259</v>
      </c>
      <c r="W71" s="2" t="n">
        <f aca="false">MAX(0.1,ROUNDUP(ROUND(V71,6)*10,0)/10)</f>
        <v>6.3</v>
      </c>
      <c r="X71" s="2" t="str">
        <f aca="false">IF(W71&lt;&gt;S71,"yes","no")</f>
        <v>no</v>
      </c>
    </row>
    <row r="72" customFormat="false" ht="15" hidden="false" customHeight="false" outlineLevel="0" collapsed="false">
      <c r="A72" s="2" t="n">
        <v>154</v>
      </c>
      <c r="B72" s="2" t="s">
        <v>445</v>
      </c>
      <c r="C72" s="2" t="s">
        <v>39</v>
      </c>
      <c r="D72" s="2" t="n">
        <v>6.289</v>
      </c>
      <c r="E72" s="2" t="s">
        <v>446</v>
      </c>
      <c r="F72" s="2" t="s">
        <v>262</v>
      </c>
      <c r="G72" s="2" t="s">
        <v>447</v>
      </c>
      <c r="H72" s="2" t="n">
        <v>4.85</v>
      </c>
      <c r="I72" s="2" t="n">
        <v>57</v>
      </c>
      <c r="J72" s="2"/>
      <c r="K72" s="2"/>
      <c r="L72" s="2"/>
      <c r="M72" s="2" t="n">
        <v>6.289</v>
      </c>
      <c r="N72" s="2"/>
      <c r="O72" s="4" t="s">
        <v>71</v>
      </c>
      <c r="P72" s="4" t="s">
        <v>39</v>
      </c>
      <c r="Q72" s="2" t="n">
        <f aca="false">M72</f>
        <v>6.289</v>
      </c>
      <c r="R72" s="2" t="n">
        <f aca="false">MAX(0.1,ROUNDUP(ROUND(D72,6)*10,0)/10)</f>
        <v>6.3</v>
      </c>
      <c r="S72" s="2" t="n">
        <f aca="false">MAX(0.1,ROUNDUP(ROUND(Q72,6)*10,0)/10)</f>
        <v>6.3</v>
      </c>
      <c r="T72" s="2" t="str">
        <f aca="false">IF(R72&lt;&gt;S72,"yes","no")</f>
        <v>no</v>
      </c>
      <c r="U72" s="2"/>
      <c r="V72" s="2" t="n">
        <v>6.289</v>
      </c>
      <c r="W72" s="2" t="n">
        <f aca="false">MAX(0.1,ROUNDUP(ROUND(V72,6)*10,0)/10)</f>
        <v>6.3</v>
      </c>
      <c r="X72" s="2" t="str">
        <f aca="false">IF(W72&lt;&gt;S72,"yes","no")</f>
        <v>no</v>
      </c>
    </row>
    <row r="73" customFormat="false" ht="15" hidden="false" customHeight="false" outlineLevel="0" collapsed="false">
      <c r="A73" s="2" t="n">
        <v>201</v>
      </c>
      <c r="B73" s="2" t="s">
        <v>454</v>
      </c>
      <c r="C73" s="2" t="s">
        <v>39</v>
      </c>
      <c r="D73" s="2" t="n">
        <v>6.309</v>
      </c>
      <c r="E73" s="2" t="s">
        <v>477</v>
      </c>
      <c r="F73" s="2" t="s">
        <v>477</v>
      </c>
      <c r="G73" s="2" t="s">
        <v>447</v>
      </c>
      <c r="H73" s="2" t="n">
        <v>8</v>
      </c>
      <c r="I73" s="2" t="n">
        <v>46</v>
      </c>
      <c r="J73" s="2"/>
      <c r="K73" s="2"/>
      <c r="L73" s="2"/>
      <c r="M73" s="2" t="n">
        <v>6.309</v>
      </c>
      <c r="N73" s="2"/>
      <c r="O73" s="4" t="s">
        <v>71</v>
      </c>
      <c r="P73" s="4" t="s">
        <v>450</v>
      </c>
      <c r="Q73" s="2" t="n">
        <f aca="false">M73</f>
        <v>6.309</v>
      </c>
      <c r="R73" s="2" t="n">
        <f aca="false">MAX(0.1,ROUNDUP(ROUND(D73,6)*10,0)/10)</f>
        <v>6.4</v>
      </c>
      <c r="S73" s="2" t="n">
        <f aca="false">MAX(0.1,ROUNDUP(ROUND(Q73,6)*10,0)/10)</f>
        <v>6.4</v>
      </c>
      <c r="T73" s="2" t="str">
        <f aca="false">IF(R73&lt;&gt;S73,"yes","no")</f>
        <v>no</v>
      </c>
      <c r="U73" s="5" t="s">
        <v>478</v>
      </c>
      <c r="V73" s="2" t="n">
        <v>6.309</v>
      </c>
      <c r="W73" s="2" t="n">
        <f aca="false">MAX(0.1,ROUNDUP(ROUND(V73,6)*10,0)/10)</f>
        <v>6.4</v>
      </c>
      <c r="X73" s="2" t="str">
        <f aca="false">IF(W73&lt;&gt;S73,"yes","no")</f>
        <v>no</v>
      </c>
    </row>
    <row r="74" customFormat="false" ht="15" hidden="false" customHeight="false" outlineLevel="0" collapsed="false">
      <c r="A74" s="2" t="n">
        <v>117</v>
      </c>
      <c r="B74" s="2" t="s">
        <v>484</v>
      </c>
      <c r="C74" s="2" t="s">
        <v>39</v>
      </c>
      <c r="D74" s="2" t="n">
        <v>6.322</v>
      </c>
      <c r="E74" s="2" t="s">
        <v>446</v>
      </c>
      <c r="F74" s="2" t="s">
        <v>262</v>
      </c>
      <c r="G74" s="2" t="s">
        <v>447</v>
      </c>
      <c r="H74" s="2" t="n">
        <v>5.025</v>
      </c>
      <c r="I74" s="2" t="n">
        <v>45</v>
      </c>
      <c r="J74" s="2"/>
      <c r="K74" s="2"/>
      <c r="L74" s="2"/>
      <c r="M74" s="2" t="n">
        <v>6.322</v>
      </c>
      <c r="N74" s="2"/>
      <c r="O74" s="4" t="s">
        <v>71</v>
      </c>
      <c r="P74" s="4" t="s">
        <v>39</v>
      </c>
      <c r="Q74" s="2" t="n">
        <f aca="false">M74</f>
        <v>6.322</v>
      </c>
      <c r="R74" s="2" t="n">
        <f aca="false">MAX(0.1,ROUNDUP(ROUND(D74,6)*10,0)/10)</f>
        <v>6.4</v>
      </c>
      <c r="S74" s="2" t="n">
        <f aca="false">MAX(0.1,ROUNDUP(ROUND(Q74,6)*10,0)/10)</f>
        <v>6.4</v>
      </c>
      <c r="T74" s="2" t="str">
        <f aca="false">IF(R74&lt;&gt;S74,"yes","no")</f>
        <v>no</v>
      </c>
      <c r="U74" s="2"/>
      <c r="V74" s="2" t="n">
        <v>6.322</v>
      </c>
      <c r="W74" s="2" t="n">
        <f aca="false">MAX(0.1,ROUNDUP(ROUND(V74,6)*10,0)/10)</f>
        <v>6.4</v>
      </c>
      <c r="X74" s="2" t="str">
        <f aca="false">IF(W74&lt;&gt;S74,"yes","no")</f>
        <v>no</v>
      </c>
    </row>
    <row r="75" customFormat="false" ht="15" hidden="false" customHeight="false" outlineLevel="0" collapsed="false">
      <c r="A75" s="2" t="n">
        <v>155</v>
      </c>
      <c r="B75" s="2" t="s">
        <v>445</v>
      </c>
      <c r="C75" s="2" t="s">
        <v>450</v>
      </c>
      <c r="D75" s="2" t="n">
        <v>6.375</v>
      </c>
      <c r="E75" s="2" t="s">
        <v>459</v>
      </c>
      <c r="F75" s="2" t="s">
        <v>459</v>
      </c>
      <c r="G75" s="2" t="s">
        <v>447</v>
      </c>
      <c r="H75" s="2" t="n">
        <v>6.425</v>
      </c>
      <c r="I75" s="2" t="n">
        <v>46</v>
      </c>
      <c r="J75" s="2"/>
      <c r="K75" s="2"/>
      <c r="L75" s="2"/>
      <c r="M75" s="2" t="n">
        <v>6.375</v>
      </c>
      <c r="N75" s="2"/>
      <c r="O75" s="4" t="s">
        <v>71</v>
      </c>
      <c r="P75" s="4" t="s">
        <v>450</v>
      </c>
      <c r="Q75" s="2" t="n">
        <f aca="false">M75</f>
        <v>6.375</v>
      </c>
      <c r="R75" s="2" t="n">
        <f aca="false">MAX(0.1,ROUNDUP(ROUND(D75,6)*10,0)/10)</f>
        <v>6.4</v>
      </c>
      <c r="S75" s="2" t="n">
        <f aca="false">MAX(0.1,ROUNDUP(ROUND(Q75,6)*10,0)/10)</f>
        <v>6.4</v>
      </c>
      <c r="T75" s="2" t="str">
        <f aca="false">IF(R75&lt;&gt;S75,"yes","no")</f>
        <v>no</v>
      </c>
      <c r="U75" s="2"/>
      <c r="V75" s="2" t="n">
        <v>6.375</v>
      </c>
      <c r="W75" s="2" t="n">
        <f aca="false">MAX(0.1,ROUNDUP(ROUND(V75,6)*10,0)/10)</f>
        <v>6.4</v>
      </c>
      <c r="X75" s="2" t="str">
        <f aca="false">IF(W75&lt;&gt;S75,"yes","no")</f>
        <v>no</v>
      </c>
    </row>
    <row r="76" customFormat="false" ht="15" hidden="false" customHeight="false" outlineLevel="0" collapsed="false">
      <c r="A76" s="2" t="n">
        <v>194</v>
      </c>
      <c r="B76" s="2" t="s">
        <v>449</v>
      </c>
      <c r="C76" s="2" t="s">
        <v>39</v>
      </c>
      <c r="D76" s="2" t="n">
        <v>6.42</v>
      </c>
      <c r="E76" s="2" t="s">
        <v>446</v>
      </c>
      <c r="F76" s="2" t="s">
        <v>262</v>
      </c>
      <c r="G76" s="2" t="s">
        <v>447</v>
      </c>
      <c r="H76" s="2" t="n">
        <v>11.15</v>
      </c>
      <c r="I76" s="2" t="n">
        <v>48</v>
      </c>
      <c r="J76" s="2"/>
      <c r="K76" s="2"/>
      <c r="L76" s="2"/>
      <c r="M76" s="2" t="n">
        <v>6.42</v>
      </c>
      <c r="N76" s="2"/>
      <c r="O76" s="4" t="s">
        <v>71</v>
      </c>
      <c r="P76" s="4" t="s">
        <v>39</v>
      </c>
      <c r="Q76" s="2" t="n">
        <f aca="false">M76</f>
        <v>6.42</v>
      </c>
      <c r="R76" s="2" t="n">
        <f aca="false">MAX(0.1,ROUNDUP(ROUND(D76,6)*10,0)/10)</f>
        <v>6.5</v>
      </c>
      <c r="S76" s="2" t="n">
        <f aca="false">MAX(0.1,ROUNDUP(ROUND(Q76,6)*10,0)/10)</f>
        <v>6.5</v>
      </c>
      <c r="T76" s="2" t="str">
        <f aca="false">IF(R76&lt;&gt;S76,"yes","no")</f>
        <v>no</v>
      </c>
      <c r="U76" s="2"/>
      <c r="V76" s="2" t="n">
        <v>6.42</v>
      </c>
      <c r="W76" s="2" t="n">
        <f aca="false">MAX(0.1,ROUNDUP(ROUND(V76,6)*10,0)/10)</f>
        <v>6.5</v>
      </c>
      <c r="X76" s="2" t="str">
        <f aca="false">IF(W76&lt;&gt;S76,"yes","no")</f>
        <v>no</v>
      </c>
    </row>
    <row r="77" customFormat="false" ht="15" hidden="false" customHeight="false" outlineLevel="0" collapsed="false">
      <c r="A77" s="2" t="n">
        <v>207</v>
      </c>
      <c r="B77" s="2" t="s">
        <v>471</v>
      </c>
      <c r="C77" s="2" t="s">
        <v>39</v>
      </c>
      <c r="D77" s="2" t="n">
        <v>6.423</v>
      </c>
      <c r="E77" s="2" t="s">
        <v>446</v>
      </c>
      <c r="F77" s="2" t="s">
        <v>262</v>
      </c>
      <c r="G77" s="2" t="s">
        <v>447</v>
      </c>
      <c r="H77" s="2" t="n">
        <v>13.8</v>
      </c>
      <c r="I77" s="2" t="n">
        <v>45</v>
      </c>
      <c r="J77" s="2"/>
      <c r="K77" s="2"/>
      <c r="L77" s="2"/>
      <c r="M77" s="2" t="n">
        <v>6.423</v>
      </c>
      <c r="N77" s="2"/>
      <c r="O77" s="4" t="s">
        <v>71</v>
      </c>
      <c r="P77" s="4" t="s">
        <v>39</v>
      </c>
      <c r="Q77" s="2" t="n">
        <f aca="false">M77</f>
        <v>6.423</v>
      </c>
      <c r="R77" s="2" t="n">
        <f aca="false">MAX(0.1,ROUNDUP(ROUND(D77,6)*10,0)/10)</f>
        <v>6.5</v>
      </c>
      <c r="S77" s="2" t="n">
        <f aca="false">MAX(0.1,ROUNDUP(ROUND(Q77,6)*10,0)/10)</f>
        <v>6.5</v>
      </c>
      <c r="T77" s="2" t="str">
        <f aca="false">IF(R77&lt;&gt;S77,"yes","no")</f>
        <v>no</v>
      </c>
      <c r="U77" s="2"/>
      <c r="V77" s="2" t="n">
        <v>6.423</v>
      </c>
      <c r="W77" s="2" t="n">
        <f aca="false">MAX(0.1,ROUNDUP(ROUND(V77,6)*10,0)/10)</f>
        <v>6.5</v>
      </c>
      <c r="X77" s="2" t="str">
        <f aca="false">IF(W77&lt;&gt;S77,"yes","no")</f>
        <v>no</v>
      </c>
    </row>
    <row r="78" customFormat="false" ht="15" hidden="false" customHeight="false" outlineLevel="0" collapsed="false">
      <c r="A78" s="2" t="n">
        <v>156</v>
      </c>
      <c r="B78" s="2" t="s">
        <v>445</v>
      </c>
      <c r="C78" s="2" t="s">
        <v>450</v>
      </c>
      <c r="D78" s="2" t="n">
        <v>6.445</v>
      </c>
      <c r="E78" s="2" t="s">
        <v>459</v>
      </c>
      <c r="F78" s="2" t="s">
        <v>305</v>
      </c>
      <c r="G78" s="2" t="s">
        <v>463</v>
      </c>
      <c r="H78" s="2" t="n">
        <v>8.25</v>
      </c>
      <c r="I78" s="2" t="n">
        <v>145</v>
      </c>
      <c r="J78" s="2" t="n">
        <v>6020</v>
      </c>
      <c r="K78" s="2" t="n">
        <v>60</v>
      </c>
      <c r="L78" s="2" t="s">
        <v>464</v>
      </c>
      <c r="M78" s="2" t="n">
        <v>6.508</v>
      </c>
      <c r="N78" s="2" t="n">
        <v>0.2035</v>
      </c>
      <c r="O78" s="4" t="s">
        <v>71</v>
      </c>
      <c r="P78" s="4" t="s">
        <v>450</v>
      </c>
      <c r="Q78" s="2" t="n">
        <f aca="false">M78</f>
        <v>6.508</v>
      </c>
      <c r="R78" s="2" t="n">
        <f aca="false">MAX(0.1,ROUNDUP(ROUND(D78,6)*10,0)/10)</f>
        <v>6.5</v>
      </c>
      <c r="S78" s="2" t="n">
        <f aca="false">MAX(0.1,ROUNDUP(ROUND(Q78,6)*10,0)/10)</f>
        <v>6.6</v>
      </c>
      <c r="T78" s="2" t="str">
        <f aca="false">IF(R78&lt;&gt;S78,"yes","no")</f>
        <v>yes</v>
      </c>
      <c r="U78" s="2"/>
      <c r="V78" s="2" t="n">
        <v>6.368</v>
      </c>
      <c r="W78" s="2" t="n">
        <f aca="false">MAX(0.1,ROUNDUP(ROUND(V78,6)*10,0)/10)</f>
        <v>6.4</v>
      </c>
      <c r="X78" s="2" t="str">
        <f aca="false">IF(W78&lt;&gt;S78,"yes","no")</f>
        <v>yes</v>
      </c>
    </row>
    <row r="79" customFormat="false" ht="15" hidden="false" customHeight="false" outlineLevel="0" collapsed="false">
      <c r="A79" s="2" t="n">
        <v>150</v>
      </c>
      <c r="B79" s="2" t="s">
        <v>472</v>
      </c>
      <c r="C79" s="2" t="s">
        <v>450</v>
      </c>
      <c r="D79" s="2" t="n">
        <v>6.499</v>
      </c>
      <c r="E79" s="2" t="s">
        <v>459</v>
      </c>
      <c r="F79" s="2" t="s">
        <v>459</v>
      </c>
      <c r="G79" s="2" t="s">
        <v>447</v>
      </c>
      <c r="H79" s="2" t="n">
        <v>2.675</v>
      </c>
      <c r="I79" s="2" t="n">
        <v>64</v>
      </c>
      <c r="J79" s="2"/>
      <c r="K79" s="2"/>
      <c r="L79" s="2"/>
      <c r="M79" s="2" t="n">
        <v>6.499</v>
      </c>
      <c r="N79" s="2"/>
      <c r="O79" s="4" t="s">
        <v>71</v>
      </c>
      <c r="P79" s="4" t="s">
        <v>450</v>
      </c>
      <c r="Q79" s="2" t="n">
        <f aca="false">M79</f>
        <v>6.499</v>
      </c>
      <c r="R79" s="2" t="n">
        <f aca="false">MAX(0.1,ROUNDUP(ROUND(D79,6)*10,0)/10)</f>
        <v>6.5</v>
      </c>
      <c r="S79" s="2" t="n">
        <f aca="false">MAX(0.1,ROUNDUP(ROUND(Q79,6)*10,0)/10)</f>
        <v>6.5</v>
      </c>
      <c r="T79" s="2" t="str">
        <f aca="false">IF(R79&lt;&gt;S79,"yes","no")</f>
        <v>no</v>
      </c>
      <c r="U79" s="2"/>
      <c r="V79" s="2" t="n">
        <v>6.499</v>
      </c>
      <c r="W79" s="2" t="n">
        <f aca="false">MAX(0.1,ROUNDUP(ROUND(V79,6)*10,0)/10)</f>
        <v>6.5</v>
      </c>
      <c r="X79" s="2" t="str">
        <f aca="false">IF(W79&lt;&gt;S79,"yes","no")</f>
        <v>no</v>
      </c>
    </row>
    <row r="80" customFormat="false" ht="15" hidden="false" customHeight="false" outlineLevel="0" collapsed="false">
      <c r="A80" s="2" t="n">
        <v>225</v>
      </c>
      <c r="B80" s="2" t="s">
        <v>483</v>
      </c>
      <c r="C80" s="2" t="s">
        <v>39</v>
      </c>
      <c r="D80" s="2" t="n">
        <v>6.525</v>
      </c>
      <c r="E80" s="2" t="s">
        <v>446</v>
      </c>
      <c r="F80" s="2" t="s">
        <v>262</v>
      </c>
      <c r="G80" s="2" t="s">
        <v>463</v>
      </c>
      <c r="H80" s="2" t="n">
        <v>4.4</v>
      </c>
      <c r="I80" s="2" t="n">
        <v>135</v>
      </c>
      <c r="J80" s="2" t="n">
        <v>6090</v>
      </c>
      <c r="K80" s="2" t="n">
        <v>60</v>
      </c>
      <c r="L80" s="2" t="s">
        <v>464</v>
      </c>
      <c r="M80" s="2" t="n">
        <v>6.584</v>
      </c>
      <c r="N80" s="2" t="n">
        <v>0.211</v>
      </c>
      <c r="O80" s="4" t="s">
        <v>71</v>
      </c>
      <c r="P80" s="4" t="s">
        <v>39</v>
      </c>
      <c r="Q80" s="2" t="n">
        <f aca="false">M80</f>
        <v>6.584</v>
      </c>
      <c r="R80" s="2" t="n">
        <f aca="false">MAX(0.1,ROUNDUP(ROUND(D80,6)*10,0)/10)</f>
        <v>6.6</v>
      </c>
      <c r="S80" s="2" t="n">
        <f aca="false">MAX(0.1,ROUNDUP(ROUND(Q80,6)*10,0)/10)</f>
        <v>6.6</v>
      </c>
      <c r="T80" s="2" t="str">
        <f aca="false">IF(R80&lt;&gt;S80,"yes","no")</f>
        <v>no</v>
      </c>
      <c r="U80" s="2"/>
      <c r="V80" s="2" t="n">
        <v>6.442</v>
      </c>
      <c r="W80" s="2" t="n">
        <f aca="false">MAX(0.1,ROUNDUP(ROUND(V80,6)*10,0)/10)</f>
        <v>6.5</v>
      </c>
      <c r="X80" s="2" t="str">
        <f aca="false">IF(W80&lt;&gt;S80,"yes","no")</f>
        <v>yes</v>
      </c>
    </row>
    <row r="81" customFormat="false" ht="15" hidden="false" customHeight="false" outlineLevel="0" collapsed="false">
      <c r="A81" s="2" t="n">
        <v>175</v>
      </c>
      <c r="B81" s="2" t="s">
        <v>473</v>
      </c>
      <c r="C81" s="2" t="s">
        <v>39</v>
      </c>
      <c r="D81" s="2" t="n">
        <v>6.61</v>
      </c>
      <c r="E81" s="2" t="s">
        <v>446</v>
      </c>
      <c r="F81" s="2" t="s">
        <v>262</v>
      </c>
      <c r="G81" s="2" t="s">
        <v>463</v>
      </c>
      <c r="H81" s="2" t="n">
        <v>6.45</v>
      </c>
      <c r="I81" s="2" t="n">
        <v>180</v>
      </c>
      <c r="J81" s="2" t="n">
        <v>6170</v>
      </c>
      <c r="K81" s="2" t="n">
        <v>80</v>
      </c>
      <c r="L81" s="2" t="s">
        <v>464</v>
      </c>
      <c r="M81" s="2" t="n">
        <v>6.677</v>
      </c>
      <c r="N81" s="2" t="n">
        <v>0.2465</v>
      </c>
      <c r="O81" s="4" t="s">
        <v>71</v>
      </c>
      <c r="P81" s="4" t="s">
        <v>39</v>
      </c>
      <c r="Q81" s="2" t="n">
        <f aca="false">M81</f>
        <v>6.677</v>
      </c>
      <c r="R81" s="2" t="n">
        <f aca="false">MAX(0.1,ROUNDUP(ROUND(D81,6)*10,0)/10)</f>
        <v>6.7</v>
      </c>
      <c r="S81" s="2" t="n">
        <f aca="false">MAX(0.1,ROUNDUP(ROUND(Q81,6)*10,0)/10)</f>
        <v>6.7</v>
      </c>
      <c r="T81" s="2" t="str">
        <f aca="false">IF(R81&lt;&gt;S81,"yes","no")</f>
        <v>no</v>
      </c>
      <c r="U81" s="2"/>
      <c r="V81" s="2" t="n">
        <v>6.528</v>
      </c>
      <c r="W81" s="2" t="n">
        <f aca="false">MAX(0.1,ROUNDUP(ROUND(V81,6)*10,0)/10)</f>
        <v>6.6</v>
      </c>
      <c r="X81" s="2" t="str">
        <f aca="false">IF(W81&lt;&gt;S81,"yes","no")</f>
        <v>yes</v>
      </c>
    </row>
    <row r="82" customFormat="false" ht="15" hidden="false" customHeight="false" outlineLevel="0" collapsed="false">
      <c r="A82" s="2" t="n">
        <v>111</v>
      </c>
      <c r="B82" s="2" t="s">
        <v>452</v>
      </c>
      <c r="C82" s="2" t="s">
        <v>39</v>
      </c>
      <c r="D82" s="2" t="n">
        <v>6.637</v>
      </c>
      <c r="E82" s="2" t="s">
        <v>446</v>
      </c>
      <c r="F82" s="2" t="s">
        <v>262</v>
      </c>
      <c r="G82" s="2" t="s">
        <v>447</v>
      </c>
      <c r="H82" s="2" t="n">
        <v>5.05</v>
      </c>
      <c r="I82" s="2" t="n">
        <v>48</v>
      </c>
      <c r="J82" s="2"/>
      <c r="K82" s="2"/>
      <c r="L82" s="2"/>
      <c r="M82" s="2" t="n">
        <v>6.637</v>
      </c>
      <c r="N82" s="2"/>
      <c r="O82" s="4" t="s">
        <v>71</v>
      </c>
      <c r="P82" s="4" t="s">
        <v>39</v>
      </c>
      <c r="Q82" s="2" t="n">
        <f aca="false">M82</f>
        <v>6.637</v>
      </c>
      <c r="R82" s="2" t="n">
        <f aca="false">MAX(0.1,ROUNDUP(ROUND(D82,6)*10,0)/10)</f>
        <v>6.7</v>
      </c>
      <c r="S82" s="2" t="n">
        <f aca="false">MAX(0.1,ROUNDUP(ROUND(Q82,6)*10,0)/10)</f>
        <v>6.7</v>
      </c>
      <c r="T82" s="2" t="str">
        <f aca="false">IF(R82&lt;&gt;S82,"yes","no")</f>
        <v>no</v>
      </c>
      <c r="U82" s="2"/>
      <c r="V82" s="2" t="n">
        <v>6.637</v>
      </c>
      <c r="W82" s="2" t="n">
        <f aca="false">MAX(0.1,ROUNDUP(ROUND(V82,6)*10,0)/10)</f>
        <v>6.7</v>
      </c>
      <c r="X82" s="2" t="str">
        <f aca="false">IF(W82&lt;&gt;S82,"yes","no")</f>
        <v>no</v>
      </c>
    </row>
    <row r="83" customFormat="false" ht="15" hidden="false" customHeight="false" outlineLevel="0" collapsed="false">
      <c r="A83" s="2" t="n">
        <v>167</v>
      </c>
      <c r="B83" s="2" t="s">
        <v>458</v>
      </c>
      <c r="C83" s="2" t="s">
        <v>39</v>
      </c>
      <c r="D83" s="2" t="n">
        <v>6.65</v>
      </c>
      <c r="E83" s="2" t="s">
        <v>446</v>
      </c>
      <c r="F83" s="2" t="s">
        <v>262</v>
      </c>
      <c r="G83" s="2" t="s">
        <v>463</v>
      </c>
      <c r="H83" s="2" t="n">
        <v>3.725</v>
      </c>
      <c r="I83" s="2" t="n">
        <v>190</v>
      </c>
      <c r="J83" s="2" t="n">
        <v>6200</v>
      </c>
      <c r="K83" s="2" t="n">
        <v>80</v>
      </c>
      <c r="L83" s="2" t="s">
        <v>464</v>
      </c>
      <c r="M83" s="2" t="n">
        <v>6.712</v>
      </c>
      <c r="N83" s="2" t="n">
        <v>0.2475</v>
      </c>
      <c r="O83" s="4" t="s">
        <v>71</v>
      </c>
      <c r="P83" s="4" t="s">
        <v>39</v>
      </c>
      <c r="Q83" s="2" t="n">
        <f aca="false">M83</f>
        <v>6.712</v>
      </c>
      <c r="R83" s="2" t="n">
        <f aca="false">MAX(0.1,ROUNDUP(ROUND(D83,6)*10,0)/10)</f>
        <v>6.7</v>
      </c>
      <c r="S83" s="2" t="n">
        <f aca="false">MAX(0.1,ROUNDUP(ROUND(Q83,6)*10,0)/10)</f>
        <v>6.8</v>
      </c>
      <c r="T83" s="2" t="str">
        <f aca="false">IF(R83&lt;&gt;S83,"yes","no")</f>
        <v>yes</v>
      </c>
      <c r="U83" s="2"/>
      <c r="V83" s="2" t="n">
        <v>6.56</v>
      </c>
      <c r="W83" s="2" t="n">
        <f aca="false">MAX(0.1,ROUNDUP(ROUND(V83,6)*10,0)/10)</f>
        <v>6.6</v>
      </c>
      <c r="X83" s="2" t="str">
        <f aca="false">IF(W83&lt;&gt;S83,"yes","no")</f>
        <v>yes</v>
      </c>
    </row>
    <row r="84" customFormat="false" ht="15" hidden="false" customHeight="false" outlineLevel="0" collapsed="false">
      <c r="A84" s="2" t="n">
        <v>163</v>
      </c>
      <c r="B84" s="2" t="s">
        <v>456</v>
      </c>
      <c r="C84" s="2" t="s">
        <v>39</v>
      </c>
      <c r="D84" s="2" t="n">
        <v>6.675</v>
      </c>
      <c r="E84" s="2"/>
      <c r="F84" s="2" t="s">
        <v>262</v>
      </c>
      <c r="G84" s="2" t="s">
        <v>463</v>
      </c>
      <c r="H84" s="2"/>
      <c r="I84" s="2"/>
      <c r="J84" s="2" t="n">
        <v>6230</v>
      </c>
      <c r="K84" s="2" t="n">
        <v>80</v>
      </c>
      <c r="L84" s="2" t="s">
        <v>487</v>
      </c>
      <c r="M84" s="2" t="n">
        <v>6.746</v>
      </c>
      <c r="N84" s="2" t="n">
        <v>0.25</v>
      </c>
      <c r="O84" s="4" t="s">
        <v>71</v>
      </c>
      <c r="P84" s="4" t="s">
        <v>39</v>
      </c>
      <c r="Q84" s="2" t="n">
        <f aca="false">M84</f>
        <v>6.746</v>
      </c>
      <c r="R84" s="2" t="n">
        <f aca="false">MAX(0.1,ROUNDUP(ROUND(D84,6)*10,0)/10)</f>
        <v>6.7</v>
      </c>
      <c r="S84" s="2" t="n">
        <f aca="false">MAX(0.1,ROUNDUP(ROUND(Q84,6)*10,0)/10)</f>
        <v>6.8</v>
      </c>
      <c r="T84" s="2" t="str">
        <f aca="false">IF(R84&lt;&gt;S84,"yes","no")</f>
        <v>yes</v>
      </c>
      <c r="U84" s="5" t="s">
        <v>488</v>
      </c>
      <c r="V84" s="2" t="n">
        <v>6.593</v>
      </c>
      <c r="W84" s="2" t="n">
        <f aca="false">MAX(0.1,ROUNDUP(ROUND(V84,6)*10,0)/10)</f>
        <v>6.6</v>
      </c>
      <c r="X84" s="2" t="str">
        <f aca="false">IF(W84&lt;&gt;S84,"yes","no")</f>
        <v>yes</v>
      </c>
    </row>
    <row r="85" customFormat="false" ht="15" hidden="false" customHeight="false" outlineLevel="0" collapsed="false">
      <c r="A85" s="2" t="n">
        <v>168</v>
      </c>
      <c r="B85" s="2" t="s">
        <v>458</v>
      </c>
      <c r="C85" s="2" t="s">
        <v>39</v>
      </c>
      <c r="D85" s="2" t="n">
        <v>6.679</v>
      </c>
      <c r="E85" s="2" t="s">
        <v>446</v>
      </c>
      <c r="F85" s="2" t="s">
        <v>262</v>
      </c>
      <c r="G85" s="2" t="s">
        <v>447</v>
      </c>
      <c r="H85" s="2" t="n">
        <v>5.375</v>
      </c>
      <c r="I85" s="2" t="n">
        <v>48</v>
      </c>
      <c r="J85" s="2"/>
      <c r="K85" s="2"/>
      <c r="L85" s="2"/>
      <c r="M85" s="2" t="n">
        <v>6.679</v>
      </c>
      <c r="N85" s="2"/>
      <c r="O85" s="4" t="s">
        <v>71</v>
      </c>
      <c r="P85" s="4" t="s">
        <v>39</v>
      </c>
      <c r="Q85" s="2" t="n">
        <f aca="false">M85</f>
        <v>6.679</v>
      </c>
      <c r="R85" s="2" t="n">
        <f aca="false">MAX(0.1,ROUNDUP(ROUND(D85,6)*10,0)/10)</f>
        <v>6.7</v>
      </c>
      <c r="S85" s="2" t="n">
        <f aca="false">MAX(0.1,ROUNDUP(ROUND(Q85,6)*10,0)/10)</f>
        <v>6.7</v>
      </c>
      <c r="T85" s="2" t="str">
        <f aca="false">IF(R85&lt;&gt;S85,"yes","no")</f>
        <v>no</v>
      </c>
      <c r="U85" s="2"/>
      <c r="V85" s="2" t="n">
        <v>6.679</v>
      </c>
      <c r="W85" s="2" t="n">
        <f aca="false">MAX(0.1,ROUNDUP(ROUND(V85,6)*10,0)/10)</f>
        <v>6.7</v>
      </c>
      <c r="X85" s="2" t="str">
        <f aca="false">IF(W85&lt;&gt;S85,"yes","no")</f>
        <v>no</v>
      </c>
    </row>
    <row r="86" customFormat="false" ht="15" hidden="false" customHeight="false" outlineLevel="0" collapsed="false">
      <c r="A86" s="2" t="n">
        <v>202</v>
      </c>
      <c r="B86" s="2" t="s">
        <v>454</v>
      </c>
      <c r="C86" s="2" t="s">
        <v>450</v>
      </c>
      <c r="D86" s="2" t="n">
        <v>6.705</v>
      </c>
      <c r="E86" s="2" t="s">
        <v>459</v>
      </c>
      <c r="F86" s="2"/>
      <c r="G86" s="2" t="s">
        <v>480</v>
      </c>
      <c r="H86" s="2" t="n">
        <v>8.4</v>
      </c>
      <c r="I86" s="2" t="n">
        <v>89</v>
      </c>
      <c r="J86" s="2"/>
      <c r="K86" s="2"/>
      <c r="L86" s="2"/>
      <c r="M86" s="2" t="n">
        <v>6.705</v>
      </c>
      <c r="N86" s="2"/>
      <c r="O86" s="4" t="s">
        <v>71</v>
      </c>
      <c r="P86" s="4" t="s">
        <v>450</v>
      </c>
      <c r="Q86" s="2" t="n">
        <f aca="false">M86</f>
        <v>6.705</v>
      </c>
      <c r="R86" s="2" t="n">
        <f aca="false">MAX(0.1,ROUNDUP(ROUND(D86,6)*10,0)/10)</f>
        <v>6.8</v>
      </c>
      <c r="S86" s="2" t="n">
        <f aca="false">MAX(0.1,ROUNDUP(ROUND(Q86,6)*10,0)/10)</f>
        <v>6.8</v>
      </c>
      <c r="T86" s="2" t="str">
        <f aca="false">IF(R86&lt;&gt;S86,"yes","no")</f>
        <v>no</v>
      </c>
      <c r="U86" s="2"/>
      <c r="V86" s="2" t="n">
        <v>6.705</v>
      </c>
      <c r="W86" s="2" t="n">
        <f aca="false">MAX(0.1,ROUNDUP(ROUND(V86,6)*10,0)/10)</f>
        <v>6.8</v>
      </c>
      <c r="X86" s="2" t="str">
        <f aca="false">IF(W86&lt;&gt;S86,"yes","no")</f>
        <v>no</v>
      </c>
    </row>
    <row r="87" customFormat="false" ht="15" hidden="false" customHeight="false" outlineLevel="0" collapsed="false">
      <c r="A87" s="2" t="n">
        <v>112</v>
      </c>
      <c r="B87" s="2" t="s">
        <v>452</v>
      </c>
      <c r="C87" s="2" t="s">
        <v>39</v>
      </c>
      <c r="D87" s="2" t="n">
        <v>6.725</v>
      </c>
      <c r="E87" s="2" t="s">
        <v>446</v>
      </c>
      <c r="F87" s="2"/>
      <c r="G87" s="2" t="s">
        <v>463</v>
      </c>
      <c r="H87" s="2" t="n">
        <v>5.35</v>
      </c>
      <c r="I87" s="2" t="n">
        <v>175</v>
      </c>
      <c r="J87" s="2" t="n">
        <v>6277</v>
      </c>
      <c r="K87" s="2" t="n">
        <v>87.5</v>
      </c>
      <c r="L87" s="2" t="s">
        <v>466</v>
      </c>
      <c r="M87" s="2" t="n">
        <v>6.801</v>
      </c>
      <c r="N87" s="2" t="n">
        <v>0.267</v>
      </c>
      <c r="O87" s="4" t="s">
        <v>71</v>
      </c>
      <c r="P87" s="4" t="s">
        <v>39</v>
      </c>
      <c r="Q87" s="2" t="n">
        <f aca="false">M87</f>
        <v>6.801</v>
      </c>
      <c r="R87" s="2" t="n">
        <f aca="false">MAX(0.1,ROUNDUP(ROUND(D87,6)*10,0)/10)</f>
        <v>6.8</v>
      </c>
      <c r="S87" s="2" t="n">
        <f aca="false">MAX(0.1,ROUNDUP(ROUND(Q87,6)*10,0)/10)</f>
        <v>6.9</v>
      </c>
      <c r="T87" s="2" t="str">
        <f aca="false">IF(R87&lt;&gt;S87,"yes","no")</f>
        <v>yes</v>
      </c>
      <c r="U87" s="5" t="s">
        <v>467</v>
      </c>
      <c r="V87" s="2" t="n">
        <v>6.646</v>
      </c>
      <c r="W87" s="2" t="n">
        <f aca="false">MAX(0.1,ROUNDUP(ROUND(V87,6)*10,0)/10)</f>
        <v>6.7</v>
      </c>
      <c r="X87" s="2" t="str">
        <f aca="false">IF(W87&lt;&gt;S87,"yes","no")</f>
        <v>yes</v>
      </c>
    </row>
    <row r="88" customFormat="false" ht="15" hidden="false" customHeight="false" outlineLevel="0" collapsed="false">
      <c r="A88" s="2" t="n">
        <v>215</v>
      </c>
      <c r="B88" s="2" t="s">
        <v>460</v>
      </c>
      <c r="C88" s="2" t="s">
        <v>450</v>
      </c>
      <c r="D88" s="2" t="n">
        <v>6.777</v>
      </c>
      <c r="E88" s="2" t="s">
        <v>451</v>
      </c>
      <c r="F88" s="2" t="s">
        <v>451</v>
      </c>
      <c r="G88" s="2" t="s">
        <v>447</v>
      </c>
      <c r="H88" s="2" t="n">
        <v>11.45</v>
      </c>
      <c r="I88" s="2" t="n">
        <v>50</v>
      </c>
      <c r="J88" s="2"/>
      <c r="K88" s="2"/>
      <c r="L88" s="2"/>
      <c r="M88" s="2" t="n">
        <v>6.777</v>
      </c>
      <c r="N88" s="2"/>
      <c r="O88" s="4" t="s">
        <v>71</v>
      </c>
      <c r="P88" s="4" t="s">
        <v>450</v>
      </c>
      <c r="Q88" s="2" t="n">
        <f aca="false">M88</f>
        <v>6.777</v>
      </c>
      <c r="R88" s="2" t="n">
        <f aca="false">MAX(0.1,ROUNDUP(ROUND(D88,6)*10,0)/10)</f>
        <v>6.8</v>
      </c>
      <c r="S88" s="2" t="n">
        <f aca="false">MAX(0.1,ROUNDUP(ROUND(Q88,6)*10,0)/10)</f>
        <v>6.8</v>
      </c>
      <c r="T88" s="2" t="str">
        <f aca="false">IF(R88&lt;&gt;S88,"yes","no")</f>
        <v>no</v>
      </c>
      <c r="U88" s="2"/>
      <c r="V88" s="2" t="n">
        <v>6.777</v>
      </c>
      <c r="W88" s="2" t="n">
        <f aca="false">MAX(0.1,ROUNDUP(ROUND(V88,6)*10,0)/10)</f>
        <v>6.8</v>
      </c>
      <c r="X88" s="2" t="str">
        <f aca="false">IF(W88&lt;&gt;S88,"yes","no")</f>
        <v>no</v>
      </c>
    </row>
    <row r="89" customFormat="false" ht="15" hidden="false" customHeight="false" outlineLevel="0" collapsed="false">
      <c r="A89" s="2" t="n">
        <v>136</v>
      </c>
      <c r="B89" s="2" t="s">
        <v>469</v>
      </c>
      <c r="C89" s="2" t="s">
        <v>450</v>
      </c>
      <c r="D89" s="2" t="n">
        <v>6.885</v>
      </c>
      <c r="E89" s="2"/>
      <c r="F89" s="2"/>
      <c r="G89" s="2"/>
      <c r="H89" s="2"/>
      <c r="I89" s="2"/>
      <c r="J89" s="2"/>
      <c r="K89" s="2"/>
      <c r="L89" s="2"/>
      <c r="M89" s="2" t="n">
        <v>6.885</v>
      </c>
      <c r="N89" s="2"/>
      <c r="O89" s="4" t="s">
        <v>71</v>
      </c>
      <c r="P89" s="4" t="s">
        <v>450</v>
      </c>
      <c r="Q89" s="2" t="n">
        <f aca="false">M89</f>
        <v>6.885</v>
      </c>
      <c r="R89" s="2" t="n">
        <f aca="false">MAX(0.1,ROUNDUP(ROUND(D89,6)*10,0)/10)</f>
        <v>6.9</v>
      </c>
      <c r="S89" s="2" t="n">
        <f aca="false">MAX(0.1,ROUNDUP(ROUND(Q89,6)*10,0)/10)</f>
        <v>6.9</v>
      </c>
      <c r="T89" s="2" t="str">
        <f aca="false">IF(R89&lt;&gt;S89,"yes","no")</f>
        <v>no</v>
      </c>
      <c r="U89" s="5" t="s">
        <v>489</v>
      </c>
      <c r="V89" s="2" t="n">
        <v>6.885</v>
      </c>
      <c r="W89" s="2" t="n">
        <f aca="false">MAX(0.1,ROUNDUP(ROUND(V89,6)*10,0)/10)</f>
        <v>6.9</v>
      </c>
      <c r="X89" s="2" t="str">
        <f aca="false">IF(W89&lt;&gt;S89,"yes","no")</f>
        <v>no</v>
      </c>
    </row>
    <row r="90" customFormat="false" ht="15" hidden="false" customHeight="false" outlineLevel="0" collapsed="false">
      <c r="A90" s="2" t="n">
        <v>145</v>
      </c>
      <c r="B90" s="2" t="s">
        <v>474</v>
      </c>
      <c r="C90" s="2" t="s">
        <v>450</v>
      </c>
      <c r="D90" s="2" t="n">
        <v>6.891</v>
      </c>
      <c r="E90" s="2" t="s">
        <v>451</v>
      </c>
      <c r="F90" s="2" t="s">
        <v>451</v>
      </c>
      <c r="G90" s="2" t="s">
        <v>447</v>
      </c>
      <c r="H90" s="2" t="n">
        <v>5.475</v>
      </c>
      <c r="I90" s="2" t="n">
        <v>50</v>
      </c>
      <c r="J90" s="2"/>
      <c r="K90" s="2"/>
      <c r="L90" s="2"/>
      <c r="M90" s="2" t="n">
        <v>6.891</v>
      </c>
      <c r="N90" s="2"/>
      <c r="O90" s="4" t="s">
        <v>71</v>
      </c>
      <c r="P90" s="4" t="s">
        <v>450</v>
      </c>
      <c r="Q90" s="2" t="n">
        <f aca="false">M90</f>
        <v>6.891</v>
      </c>
      <c r="R90" s="2" t="n">
        <f aca="false">MAX(0.1,ROUNDUP(ROUND(D90,6)*10,0)/10)</f>
        <v>6.9</v>
      </c>
      <c r="S90" s="2" t="n">
        <f aca="false">MAX(0.1,ROUNDUP(ROUND(Q90,6)*10,0)/10)</f>
        <v>6.9</v>
      </c>
      <c r="T90" s="2" t="str">
        <f aca="false">IF(R90&lt;&gt;S90,"yes","no")</f>
        <v>no</v>
      </c>
      <c r="U90" s="2"/>
      <c r="V90" s="2" t="n">
        <v>6.891</v>
      </c>
      <c r="W90" s="2" t="n">
        <f aca="false">MAX(0.1,ROUNDUP(ROUND(V90,6)*10,0)/10)</f>
        <v>6.9</v>
      </c>
      <c r="X90" s="2" t="str">
        <f aca="false">IF(W90&lt;&gt;S90,"yes","no")</f>
        <v>no</v>
      </c>
    </row>
    <row r="91" customFormat="false" ht="15" hidden="false" customHeight="false" outlineLevel="0" collapsed="false">
      <c r="A91" s="2" t="n">
        <v>157</v>
      </c>
      <c r="B91" s="2" t="s">
        <v>445</v>
      </c>
      <c r="C91" s="2" t="s">
        <v>450</v>
      </c>
      <c r="D91" s="2" t="n">
        <v>6.911</v>
      </c>
      <c r="E91" s="2" t="s">
        <v>490</v>
      </c>
      <c r="F91" s="2" t="s">
        <v>490</v>
      </c>
      <c r="G91" s="2" t="s">
        <v>447</v>
      </c>
      <c r="H91" s="2" t="n">
        <v>10.075</v>
      </c>
      <c r="I91" s="2" t="n">
        <v>49</v>
      </c>
      <c r="J91" s="2"/>
      <c r="K91" s="2"/>
      <c r="L91" s="2"/>
      <c r="M91" s="2" t="n">
        <v>6.911</v>
      </c>
      <c r="N91" s="2"/>
      <c r="O91" s="4" t="s">
        <v>71</v>
      </c>
      <c r="P91" s="4" t="s">
        <v>450</v>
      </c>
      <c r="Q91" s="2" t="n">
        <f aca="false">M91</f>
        <v>6.911</v>
      </c>
      <c r="R91" s="2" t="n">
        <f aca="false">MAX(0.1,ROUNDUP(ROUND(D91,6)*10,0)/10)</f>
        <v>7</v>
      </c>
      <c r="S91" s="2" t="n">
        <f aca="false">MAX(0.1,ROUNDUP(ROUND(Q91,6)*10,0)/10)</f>
        <v>7</v>
      </c>
      <c r="T91" s="2" t="str">
        <f aca="false">IF(R91&lt;&gt;S91,"yes","no")</f>
        <v>no</v>
      </c>
      <c r="U91" s="2"/>
      <c r="V91" s="2" t="n">
        <v>6.911</v>
      </c>
      <c r="W91" s="2" t="n">
        <f aca="false">MAX(0.1,ROUNDUP(ROUND(V91,6)*10,0)/10)</f>
        <v>7</v>
      </c>
      <c r="X91" s="2" t="str">
        <f aca="false">IF(W91&lt;&gt;S91,"yes","no")</f>
        <v>no</v>
      </c>
    </row>
    <row r="92" customFormat="false" ht="15" hidden="false" customHeight="false" outlineLevel="0" collapsed="false">
      <c r="A92" s="2" t="n">
        <v>195</v>
      </c>
      <c r="B92" s="2" t="s">
        <v>449</v>
      </c>
      <c r="C92" s="2" t="s">
        <v>450</v>
      </c>
      <c r="D92" s="2" t="n">
        <v>6.963</v>
      </c>
      <c r="E92" s="2" t="s">
        <v>459</v>
      </c>
      <c r="F92" s="2"/>
      <c r="G92" s="2" t="s">
        <v>480</v>
      </c>
      <c r="H92" s="2" t="n">
        <v>12.825</v>
      </c>
      <c r="I92" s="2" t="n">
        <v>66</v>
      </c>
      <c r="J92" s="2"/>
      <c r="K92" s="2"/>
      <c r="L92" s="2"/>
      <c r="M92" s="2" t="n">
        <v>6.963</v>
      </c>
      <c r="N92" s="2"/>
      <c r="O92" s="4" t="s">
        <v>71</v>
      </c>
      <c r="P92" s="4" t="s">
        <v>450</v>
      </c>
      <c r="Q92" s="2" t="n">
        <f aca="false">M92</f>
        <v>6.963</v>
      </c>
      <c r="R92" s="2" t="n">
        <f aca="false">MAX(0.1,ROUNDUP(ROUND(D92,6)*10,0)/10)</f>
        <v>7</v>
      </c>
      <c r="S92" s="2" t="n">
        <f aca="false">MAX(0.1,ROUNDUP(ROUND(Q92,6)*10,0)/10)</f>
        <v>7</v>
      </c>
      <c r="T92" s="2" t="str">
        <f aca="false">IF(R92&lt;&gt;S92,"yes","no")</f>
        <v>no</v>
      </c>
      <c r="U92" s="2"/>
      <c r="V92" s="2" t="n">
        <v>6.963</v>
      </c>
      <c r="W92" s="2" t="n">
        <f aca="false">MAX(0.1,ROUNDUP(ROUND(V92,6)*10,0)/10)</f>
        <v>7</v>
      </c>
      <c r="X92" s="2" t="str">
        <f aca="false">IF(W92&lt;&gt;S92,"yes","no")</f>
        <v>no</v>
      </c>
    </row>
    <row r="93" customFormat="false" ht="15" hidden="false" customHeight="false" outlineLevel="0" collapsed="false">
      <c r="A93" s="2" t="n">
        <v>176</v>
      </c>
      <c r="B93" s="2" t="s">
        <v>473</v>
      </c>
      <c r="C93" s="2" t="s">
        <v>39</v>
      </c>
      <c r="D93" s="2" t="n">
        <v>6.99</v>
      </c>
      <c r="E93" s="2" t="s">
        <v>446</v>
      </c>
      <c r="F93" s="2" t="s">
        <v>262</v>
      </c>
      <c r="G93" s="2" t="s">
        <v>447</v>
      </c>
      <c r="H93" s="2" t="n">
        <v>7.7</v>
      </c>
      <c r="I93" s="2" t="n">
        <v>49</v>
      </c>
      <c r="J93" s="2"/>
      <c r="K93" s="2"/>
      <c r="L93" s="2"/>
      <c r="M93" s="2" t="n">
        <v>6.99</v>
      </c>
      <c r="N93" s="2"/>
      <c r="O93" s="4" t="s">
        <v>71</v>
      </c>
      <c r="P93" s="4" t="s">
        <v>39</v>
      </c>
      <c r="Q93" s="2" t="n">
        <f aca="false">M93</f>
        <v>6.99</v>
      </c>
      <c r="R93" s="2" t="n">
        <f aca="false">MAX(0.1,ROUNDUP(ROUND(D93,6)*10,0)/10)</f>
        <v>7</v>
      </c>
      <c r="S93" s="2" t="n">
        <f aca="false">MAX(0.1,ROUNDUP(ROUND(Q93,6)*10,0)/10)</f>
        <v>7</v>
      </c>
      <c r="T93" s="2" t="str">
        <f aca="false">IF(R93&lt;&gt;S93,"yes","no")</f>
        <v>no</v>
      </c>
      <c r="U93" s="2"/>
      <c r="V93" s="2" t="n">
        <v>6.99</v>
      </c>
      <c r="W93" s="2" t="n">
        <f aca="false">MAX(0.1,ROUNDUP(ROUND(V93,6)*10,0)/10)</f>
        <v>7</v>
      </c>
      <c r="X93" s="2" t="str">
        <f aca="false">IF(W93&lt;&gt;S93,"yes","no")</f>
        <v>no</v>
      </c>
    </row>
    <row r="94" customFormat="false" ht="15" hidden="false" customHeight="false" outlineLevel="0" collapsed="false">
      <c r="A94" s="2" t="n">
        <v>208</v>
      </c>
      <c r="B94" s="2" t="s">
        <v>471</v>
      </c>
      <c r="C94" s="2" t="s">
        <v>450</v>
      </c>
      <c r="D94" s="2" t="n">
        <v>6.99</v>
      </c>
      <c r="E94" s="2" t="s">
        <v>459</v>
      </c>
      <c r="F94" s="2" t="s">
        <v>305</v>
      </c>
      <c r="G94" s="2" t="s">
        <v>463</v>
      </c>
      <c r="H94" s="2" t="n">
        <v>14.7</v>
      </c>
      <c r="I94" s="2" t="n">
        <v>190</v>
      </c>
      <c r="J94" s="2" t="n">
        <v>6500</v>
      </c>
      <c r="K94" s="2" t="n">
        <v>70</v>
      </c>
      <c r="L94" s="2" t="s">
        <v>464</v>
      </c>
      <c r="M94" s="2" t="n">
        <v>7.053</v>
      </c>
      <c r="N94" s="2" t="n">
        <v>0.22</v>
      </c>
      <c r="O94" s="4" t="s">
        <v>71</v>
      </c>
      <c r="P94" s="4" t="s">
        <v>450</v>
      </c>
      <c r="Q94" s="2" t="n">
        <f aca="false">M94</f>
        <v>7.053</v>
      </c>
      <c r="R94" s="2" t="n">
        <f aca="false">MAX(0.1,ROUNDUP(ROUND(D94,6)*10,0)/10)</f>
        <v>7</v>
      </c>
      <c r="S94" s="2" t="n">
        <f aca="false">MAX(0.1,ROUNDUP(ROUND(Q94,6)*10,0)/10)</f>
        <v>7.1</v>
      </c>
      <c r="T94" s="2" t="str">
        <f aca="false">IF(R94&lt;&gt;S94,"yes","no")</f>
        <v>yes</v>
      </c>
      <c r="U94" s="2"/>
      <c r="V94" s="2" t="n">
        <v>6.902</v>
      </c>
      <c r="W94" s="2" t="n">
        <f aca="false">MAX(0.1,ROUNDUP(ROUND(V94,6)*10,0)/10)</f>
        <v>7</v>
      </c>
      <c r="X94" s="2" t="str">
        <f aca="false">IF(W94&lt;&gt;S94,"yes","no")</f>
        <v>yes</v>
      </c>
    </row>
    <row r="95" customFormat="false" ht="15" hidden="false" customHeight="false" outlineLevel="0" collapsed="false">
      <c r="A95" s="2" t="n">
        <v>226</v>
      </c>
      <c r="B95" s="2" t="s">
        <v>483</v>
      </c>
      <c r="C95" s="2" t="s">
        <v>39</v>
      </c>
      <c r="D95" s="2" t="n">
        <v>6.995</v>
      </c>
      <c r="E95" s="2" t="s">
        <v>446</v>
      </c>
      <c r="F95" s="2" t="s">
        <v>262</v>
      </c>
      <c r="G95" s="2" t="s">
        <v>463</v>
      </c>
      <c r="H95" s="2" t="n">
        <v>6.8</v>
      </c>
      <c r="I95" s="2" t="n">
        <v>155</v>
      </c>
      <c r="J95" s="2" t="n">
        <v>6480</v>
      </c>
      <c r="K95" s="2" t="n">
        <v>60</v>
      </c>
      <c r="L95" s="2" t="s">
        <v>464</v>
      </c>
      <c r="M95" s="2" t="n">
        <v>7.033</v>
      </c>
      <c r="N95" s="2" t="n">
        <v>0.2105</v>
      </c>
      <c r="O95" s="4" t="s">
        <v>71</v>
      </c>
      <c r="P95" s="4" t="s">
        <v>39</v>
      </c>
      <c r="Q95" s="2" t="n">
        <f aca="false">M95</f>
        <v>7.033</v>
      </c>
      <c r="R95" s="2" t="n">
        <f aca="false">MAX(0.1,ROUNDUP(ROUND(D95,6)*10,0)/10)</f>
        <v>7</v>
      </c>
      <c r="S95" s="2" t="n">
        <f aca="false">MAX(0.1,ROUNDUP(ROUND(Q95,6)*10,0)/10)</f>
        <v>7.1</v>
      </c>
      <c r="T95" s="2" t="str">
        <f aca="false">IF(R95&lt;&gt;S95,"yes","no")</f>
        <v>yes</v>
      </c>
      <c r="U95" s="2"/>
      <c r="V95" s="2" t="n">
        <v>6.879</v>
      </c>
      <c r="W95" s="2" t="n">
        <f aca="false">MAX(0.1,ROUNDUP(ROUND(V95,6)*10,0)/10)</f>
        <v>6.9</v>
      </c>
      <c r="X95" s="2" t="str">
        <f aca="false">IF(W95&lt;&gt;S95,"yes","no")</f>
        <v>yes</v>
      </c>
    </row>
    <row r="96" customFormat="false" ht="15" hidden="false" customHeight="false" outlineLevel="0" collapsed="false">
      <c r="A96" s="2" t="n">
        <v>222</v>
      </c>
      <c r="B96" s="2" t="s">
        <v>453</v>
      </c>
      <c r="C96" s="2" t="s">
        <v>39</v>
      </c>
      <c r="D96" s="2" t="n">
        <v>7.037</v>
      </c>
      <c r="E96" s="2" t="s">
        <v>446</v>
      </c>
      <c r="F96" s="2" t="s">
        <v>262</v>
      </c>
      <c r="G96" s="2" t="s">
        <v>447</v>
      </c>
      <c r="H96" s="2" t="n">
        <v>5.625</v>
      </c>
      <c r="I96" s="2" t="n">
        <v>50</v>
      </c>
      <c r="J96" s="2"/>
      <c r="K96" s="2"/>
      <c r="L96" s="2"/>
      <c r="M96" s="2" t="n">
        <v>7.037</v>
      </c>
      <c r="N96" s="2"/>
      <c r="O96" s="4" t="s">
        <v>71</v>
      </c>
      <c r="P96" s="4" t="s">
        <v>39</v>
      </c>
      <c r="Q96" s="2" t="n">
        <f aca="false">M96</f>
        <v>7.037</v>
      </c>
      <c r="R96" s="2" t="n">
        <f aca="false">MAX(0.1,ROUNDUP(ROUND(D96,6)*10,0)/10)</f>
        <v>7.1</v>
      </c>
      <c r="S96" s="2" t="n">
        <f aca="false">MAX(0.1,ROUNDUP(ROUND(Q96,6)*10,0)/10)</f>
        <v>7.1</v>
      </c>
      <c r="T96" s="2" t="str">
        <f aca="false">IF(R96&lt;&gt;S96,"yes","no")</f>
        <v>no</v>
      </c>
      <c r="U96" s="2"/>
      <c r="V96" s="2" t="n">
        <v>7.037</v>
      </c>
      <c r="W96" s="2" t="n">
        <f aca="false">MAX(0.1,ROUNDUP(ROUND(V96,6)*10,0)/10)</f>
        <v>7.1</v>
      </c>
      <c r="X96" s="2" t="str">
        <f aca="false">IF(W96&lt;&gt;S96,"yes","no")</f>
        <v>no</v>
      </c>
    </row>
    <row r="97" customFormat="false" ht="15" hidden="false" customHeight="false" outlineLevel="0" collapsed="false">
      <c r="A97" s="2" t="n">
        <v>114</v>
      </c>
      <c r="B97" s="2" t="s">
        <v>452</v>
      </c>
      <c r="C97" s="2" t="s">
        <v>450</v>
      </c>
      <c r="D97" s="2" t="n">
        <v>7.045</v>
      </c>
      <c r="E97" s="2" t="s">
        <v>459</v>
      </c>
      <c r="F97" s="2"/>
      <c r="G97" s="2" t="s">
        <v>463</v>
      </c>
      <c r="H97" s="2" t="n">
        <v>8.225</v>
      </c>
      <c r="I97" s="2" t="n">
        <v>170</v>
      </c>
      <c r="J97" s="2" t="n">
        <v>6559</v>
      </c>
      <c r="K97" s="2" t="n">
        <v>85</v>
      </c>
      <c r="L97" s="2" t="s">
        <v>466</v>
      </c>
      <c r="M97" s="2" t="n">
        <v>7.113</v>
      </c>
      <c r="N97" s="2" t="n">
        <v>0.2395</v>
      </c>
      <c r="O97" s="4" t="s">
        <v>71</v>
      </c>
      <c r="P97" s="4" t="s">
        <v>450</v>
      </c>
      <c r="Q97" s="2" t="n">
        <f aca="false">M97</f>
        <v>7.113</v>
      </c>
      <c r="R97" s="2" t="n">
        <f aca="false">MAX(0.1,ROUNDUP(ROUND(D97,6)*10,0)/10)</f>
        <v>7.1</v>
      </c>
      <c r="S97" s="2" t="n">
        <f aca="false">MAX(0.1,ROUNDUP(ROUND(Q97,6)*10,0)/10)</f>
        <v>7.2</v>
      </c>
      <c r="T97" s="2" t="str">
        <f aca="false">IF(R97&lt;&gt;S97,"yes","no")</f>
        <v>yes</v>
      </c>
      <c r="U97" s="5" t="s">
        <v>467</v>
      </c>
      <c r="V97" s="2" t="n">
        <v>6.969</v>
      </c>
      <c r="W97" s="2" t="n">
        <f aca="false">MAX(0.1,ROUNDUP(ROUND(V97,6)*10,0)/10)</f>
        <v>7</v>
      </c>
      <c r="X97" s="2" t="str">
        <f aca="false">IF(W97&lt;&gt;S97,"yes","no")</f>
        <v>yes</v>
      </c>
    </row>
    <row r="98" customFormat="false" ht="15" hidden="false" customHeight="false" outlineLevel="0" collapsed="false">
      <c r="A98" s="2" t="n">
        <v>184</v>
      </c>
      <c r="B98" s="2" t="s">
        <v>461</v>
      </c>
      <c r="C98" s="2" t="s">
        <v>450</v>
      </c>
      <c r="D98" s="2" t="n">
        <v>7.066</v>
      </c>
      <c r="E98" s="2" t="s">
        <v>459</v>
      </c>
      <c r="F98" s="2" t="s">
        <v>459</v>
      </c>
      <c r="G98" s="2" t="s">
        <v>447</v>
      </c>
      <c r="H98" s="2" t="n">
        <v>8.25</v>
      </c>
      <c r="I98" s="2" t="n">
        <v>57</v>
      </c>
      <c r="J98" s="2"/>
      <c r="K98" s="2"/>
      <c r="L98" s="2"/>
      <c r="M98" s="2" t="n">
        <v>7.066</v>
      </c>
      <c r="N98" s="2"/>
      <c r="O98" s="4" t="s">
        <v>71</v>
      </c>
      <c r="P98" s="4" t="s">
        <v>450</v>
      </c>
      <c r="Q98" s="2" t="n">
        <f aca="false">M98</f>
        <v>7.066</v>
      </c>
      <c r="R98" s="2" t="n">
        <f aca="false">MAX(0.1,ROUNDUP(ROUND(D98,6)*10,0)/10)</f>
        <v>7.1</v>
      </c>
      <c r="S98" s="2" t="n">
        <f aca="false">MAX(0.1,ROUNDUP(ROUND(Q98,6)*10,0)/10)</f>
        <v>7.1</v>
      </c>
      <c r="T98" s="2" t="str">
        <f aca="false">IF(R98&lt;&gt;S98,"yes","no")</f>
        <v>no</v>
      </c>
      <c r="U98" s="2"/>
      <c r="V98" s="2" t="n">
        <v>7.066</v>
      </c>
      <c r="W98" s="2" t="n">
        <f aca="false">MAX(0.1,ROUNDUP(ROUND(V98,6)*10,0)/10)</f>
        <v>7.1</v>
      </c>
      <c r="X98" s="2" t="str">
        <f aca="false">IF(W98&lt;&gt;S98,"yes","no")</f>
        <v>no</v>
      </c>
    </row>
    <row r="99" customFormat="false" ht="15" hidden="false" customHeight="false" outlineLevel="0" collapsed="false">
      <c r="A99" s="2" t="n">
        <v>217</v>
      </c>
      <c r="B99" s="2" t="s">
        <v>460</v>
      </c>
      <c r="C99" s="2" t="s">
        <v>450</v>
      </c>
      <c r="D99" s="2" t="n">
        <v>7.07</v>
      </c>
      <c r="E99" s="2" t="s">
        <v>459</v>
      </c>
      <c r="F99" s="2" t="s">
        <v>305</v>
      </c>
      <c r="G99" s="2" t="s">
        <v>463</v>
      </c>
      <c r="H99" s="2" t="n">
        <v>15.625</v>
      </c>
      <c r="I99" s="2" t="n">
        <v>170</v>
      </c>
      <c r="J99" s="2" t="n">
        <v>6570</v>
      </c>
      <c r="K99" s="2" t="n">
        <v>70</v>
      </c>
      <c r="L99" s="2" t="s">
        <v>464</v>
      </c>
      <c r="M99" s="2" t="n">
        <v>7.127</v>
      </c>
      <c r="N99" s="2" t="n">
        <v>0.216</v>
      </c>
      <c r="O99" s="4" t="s">
        <v>71</v>
      </c>
      <c r="P99" s="4" t="s">
        <v>450</v>
      </c>
      <c r="Q99" s="2" t="n">
        <f aca="false">M99</f>
        <v>7.127</v>
      </c>
      <c r="R99" s="2" t="n">
        <f aca="false">MAX(0.1,ROUNDUP(ROUND(D99,6)*10,0)/10)</f>
        <v>7.1</v>
      </c>
      <c r="S99" s="2" t="n">
        <f aca="false">MAX(0.1,ROUNDUP(ROUND(Q99,6)*10,0)/10)</f>
        <v>7.2</v>
      </c>
      <c r="T99" s="2" t="str">
        <f aca="false">IF(R99&lt;&gt;S99,"yes","no")</f>
        <v>yes</v>
      </c>
      <c r="U99" s="2"/>
      <c r="V99" s="2" t="n">
        <v>6.982</v>
      </c>
      <c r="W99" s="2" t="n">
        <f aca="false">MAX(0.1,ROUNDUP(ROUND(V99,6)*10,0)/10)</f>
        <v>7</v>
      </c>
      <c r="X99" s="2" t="str">
        <f aca="false">IF(W99&lt;&gt;S99,"yes","no")</f>
        <v>yes</v>
      </c>
    </row>
    <row r="100" customFormat="false" ht="15" hidden="false" customHeight="false" outlineLevel="0" collapsed="false">
      <c r="A100" s="2" t="n">
        <v>216</v>
      </c>
      <c r="B100" s="2" t="s">
        <v>460</v>
      </c>
      <c r="C100" s="2" t="s">
        <v>450</v>
      </c>
      <c r="D100" s="2" t="n">
        <v>7.071</v>
      </c>
      <c r="E100" s="2" t="s">
        <v>459</v>
      </c>
      <c r="F100" s="2" t="s">
        <v>459</v>
      </c>
      <c r="G100" s="2" t="s">
        <v>447</v>
      </c>
      <c r="H100" s="2" t="n">
        <v>13</v>
      </c>
      <c r="I100" s="2" t="n">
        <v>50</v>
      </c>
      <c r="J100" s="2"/>
      <c r="K100" s="2"/>
      <c r="L100" s="2"/>
      <c r="M100" s="2" t="n">
        <v>7.071</v>
      </c>
      <c r="N100" s="2"/>
      <c r="O100" s="4" t="s">
        <v>71</v>
      </c>
      <c r="P100" s="4" t="s">
        <v>450</v>
      </c>
      <c r="Q100" s="2" t="n">
        <f aca="false">M100</f>
        <v>7.071</v>
      </c>
      <c r="R100" s="2" t="n">
        <f aca="false">MAX(0.1,ROUNDUP(ROUND(D100,6)*10,0)/10)</f>
        <v>7.1</v>
      </c>
      <c r="S100" s="2" t="n">
        <f aca="false">MAX(0.1,ROUNDUP(ROUND(Q100,6)*10,0)/10)</f>
        <v>7.1</v>
      </c>
      <c r="T100" s="2" t="str">
        <f aca="false">IF(R100&lt;&gt;S100,"yes","no")</f>
        <v>no</v>
      </c>
      <c r="U100" s="2"/>
      <c r="V100" s="2" t="n">
        <v>7.071</v>
      </c>
      <c r="W100" s="2" t="n">
        <f aca="false">MAX(0.1,ROUNDUP(ROUND(V100,6)*10,0)/10)</f>
        <v>7.1</v>
      </c>
      <c r="X100" s="2" t="str">
        <f aca="false">IF(W100&lt;&gt;S100,"yes","no")</f>
        <v>no</v>
      </c>
    </row>
    <row r="101" customFormat="false" ht="15" hidden="false" customHeight="false" outlineLevel="0" collapsed="false">
      <c r="A101" s="2" t="n">
        <v>158</v>
      </c>
      <c r="B101" s="2" t="s">
        <v>445</v>
      </c>
      <c r="C101" s="2" t="s">
        <v>450</v>
      </c>
      <c r="D101" s="2" t="n">
        <v>7.098</v>
      </c>
      <c r="E101" s="2" t="s">
        <v>459</v>
      </c>
      <c r="F101" s="2" t="s">
        <v>491</v>
      </c>
      <c r="G101" s="2" t="s">
        <v>447</v>
      </c>
      <c r="H101" s="2" t="n">
        <v>13.5</v>
      </c>
      <c r="I101" s="2" t="n">
        <v>51</v>
      </c>
      <c r="J101" s="2"/>
      <c r="K101" s="2"/>
      <c r="L101" s="2"/>
      <c r="M101" s="2" t="n">
        <v>7.098</v>
      </c>
      <c r="N101" s="2"/>
      <c r="O101" s="4" t="s">
        <v>71</v>
      </c>
      <c r="P101" s="4" t="s">
        <v>450</v>
      </c>
      <c r="Q101" s="2" t="n">
        <f aca="false">M101</f>
        <v>7.098</v>
      </c>
      <c r="R101" s="2" t="n">
        <f aca="false">MAX(0.1,ROUNDUP(ROUND(D101,6)*10,0)/10)</f>
        <v>7.1</v>
      </c>
      <c r="S101" s="2" t="n">
        <f aca="false">MAX(0.1,ROUNDUP(ROUND(Q101,6)*10,0)/10)</f>
        <v>7.1</v>
      </c>
      <c r="T101" s="2" t="str">
        <f aca="false">IF(R101&lt;&gt;S101,"yes","no")</f>
        <v>no</v>
      </c>
      <c r="U101" s="2"/>
      <c r="V101" s="2" t="n">
        <v>7.098</v>
      </c>
      <c r="W101" s="2" t="n">
        <f aca="false">MAX(0.1,ROUNDUP(ROUND(V101,6)*10,0)/10)</f>
        <v>7.1</v>
      </c>
      <c r="X101" s="2" t="str">
        <f aca="false">IF(W101&lt;&gt;S101,"yes","no")</f>
        <v>no</v>
      </c>
    </row>
    <row r="102" customFormat="false" ht="15" hidden="false" customHeight="false" outlineLevel="0" collapsed="false">
      <c r="A102" s="2" t="n">
        <v>146</v>
      </c>
      <c r="B102" s="2" t="s">
        <v>474</v>
      </c>
      <c r="C102" s="2" t="s">
        <v>450</v>
      </c>
      <c r="D102" s="2" t="n">
        <v>7.145</v>
      </c>
      <c r="E102" s="2" t="s">
        <v>462</v>
      </c>
      <c r="F102" s="2"/>
      <c r="G102" s="2" t="s">
        <v>463</v>
      </c>
      <c r="H102" s="2" t="n">
        <v>6.5</v>
      </c>
      <c r="I102" s="2" t="n">
        <v>80</v>
      </c>
      <c r="J102" s="2" t="n">
        <v>6640</v>
      </c>
      <c r="K102" s="2" t="n">
        <v>40</v>
      </c>
      <c r="L102" s="2" t="s">
        <v>466</v>
      </c>
      <c r="M102" s="2" t="n">
        <v>7.205</v>
      </c>
      <c r="N102" s="2" t="n">
        <v>0.179</v>
      </c>
      <c r="O102" s="4" t="s">
        <v>71</v>
      </c>
      <c r="P102" s="4" t="s">
        <v>450</v>
      </c>
      <c r="Q102" s="2" t="n">
        <f aca="false">M102</f>
        <v>7.205</v>
      </c>
      <c r="R102" s="2" t="n">
        <f aca="false">MAX(0.1,ROUNDUP(ROUND(D102,6)*10,0)/10)</f>
        <v>7.2</v>
      </c>
      <c r="S102" s="2" t="n">
        <f aca="false">MAX(0.1,ROUNDUP(ROUND(Q102,6)*10,0)/10)</f>
        <v>7.3</v>
      </c>
      <c r="T102" s="2" t="str">
        <f aca="false">IF(R102&lt;&gt;S102,"yes","no")</f>
        <v>yes</v>
      </c>
      <c r="U102" s="5" t="s">
        <v>467</v>
      </c>
      <c r="V102" s="2" t="n">
        <v>7.059</v>
      </c>
      <c r="W102" s="2" t="n">
        <f aca="false">MAX(0.1,ROUNDUP(ROUND(V102,6)*10,0)/10)</f>
        <v>7.1</v>
      </c>
      <c r="X102" s="2" t="str">
        <f aca="false">IF(W102&lt;&gt;S102,"yes","no")</f>
        <v>yes</v>
      </c>
    </row>
    <row r="103" customFormat="false" ht="15" hidden="false" customHeight="false" outlineLevel="0" collapsed="false">
      <c r="A103" s="2" t="n">
        <v>113</v>
      </c>
      <c r="B103" s="2" t="s">
        <v>452</v>
      </c>
      <c r="C103" s="2" t="s">
        <v>450</v>
      </c>
      <c r="D103" s="2" t="n">
        <v>7.185</v>
      </c>
      <c r="E103" s="2" t="s">
        <v>459</v>
      </c>
      <c r="F103" s="2" t="s">
        <v>459</v>
      </c>
      <c r="G103" s="2" t="s">
        <v>447</v>
      </c>
      <c r="H103" s="2" t="n">
        <v>6.675</v>
      </c>
      <c r="I103" s="2" t="n">
        <v>53</v>
      </c>
      <c r="J103" s="2"/>
      <c r="K103" s="2"/>
      <c r="L103" s="2"/>
      <c r="M103" s="2" t="n">
        <v>7.185</v>
      </c>
      <c r="N103" s="2"/>
      <c r="O103" s="4" t="s">
        <v>71</v>
      </c>
      <c r="P103" s="4" t="s">
        <v>450</v>
      </c>
      <c r="Q103" s="2" t="n">
        <f aca="false">M103</f>
        <v>7.185</v>
      </c>
      <c r="R103" s="2" t="n">
        <f aca="false">MAX(0.1,ROUNDUP(ROUND(D103,6)*10,0)/10)</f>
        <v>7.2</v>
      </c>
      <c r="S103" s="2" t="n">
        <f aca="false">MAX(0.1,ROUNDUP(ROUND(Q103,6)*10,0)/10)</f>
        <v>7.2</v>
      </c>
      <c r="T103" s="2" t="str">
        <f aca="false">IF(R103&lt;&gt;S103,"yes","no")</f>
        <v>no</v>
      </c>
      <c r="U103" s="2"/>
      <c r="V103" s="2" t="n">
        <v>7.185</v>
      </c>
      <c r="W103" s="2" t="n">
        <f aca="false">MAX(0.1,ROUNDUP(ROUND(V103,6)*10,0)/10)</f>
        <v>7.2</v>
      </c>
      <c r="X103" s="2" t="str">
        <f aca="false">IF(W103&lt;&gt;S103,"yes","no")</f>
        <v>no</v>
      </c>
    </row>
    <row r="104" customFormat="false" ht="15" hidden="false" customHeight="false" outlineLevel="0" collapsed="false">
      <c r="A104" s="2" t="n">
        <v>115</v>
      </c>
      <c r="B104" s="2" t="s">
        <v>452</v>
      </c>
      <c r="C104" s="2" t="s">
        <v>39</v>
      </c>
      <c r="D104" s="2" t="n">
        <v>7.26</v>
      </c>
      <c r="E104" s="2" t="s">
        <v>477</v>
      </c>
      <c r="F104" s="2" t="s">
        <v>477</v>
      </c>
      <c r="G104" s="2" t="s">
        <v>447</v>
      </c>
      <c r="H104" s="2" t="n">
        <v>8.275</v>
      </c>
      <c r="I104" s="2" t="n">
        <v>52</v>
      </c>
      <c r="J104" s="2"/>
      <c r="K104" s="2"/>
      <c r="L104" s="2"/>
      <c r="M104" s="2" t="n">
        <v>7.26</v>
      </c>
      <c r="N104" s="2"/>
      <c r="O104" s="4" t="s">
        <v>71</v>
      </c>
      <c r="P104" s="4" t="s">
        <v>450</v>
      </c>
      <c r="Q104" s="2" t="n">
        <f aca="false">M104</f>
        <v>7.26</v>
      </c>
      <c r="R104" s="2" t="n">
        <f aca="false">MAX(0.1,ROUNDUP(ROUND(D104,6)*10,0)/10)</f>
        <v>7.3</v>
      </c>
      <c r="S104" s="2" t="n">
        <f aca="false">MAX(0.1,ROUNDUP(ROUND(Q104,6)*10,0)/10)</f>
        <v>7.3</v>
      </c>
      <c r="T104" s="2" t="str">
        <f aca="false">IF(R104&lt;&gt;S104,"yes","no")</f>
        <v>no</v>
      </c>
      <c r="U104" s="5" t="s">
        <v>478</v>
      </c>
      <c r="V104" s="2" t="n">
        <v>7.26</v>
      </c>
      <c r="W104" s="2" t="n">
        <f aca="false">MAX(0.1,ROUNDUP(ROUND(V104,6)*10,0)/10)</f>
        <v>7.3</v>
      </c>
      <c r="X104" s="2" t="str">
        <f aca="false">IF(W104&lt;&gt;S104,"yes","no")</f>
        <v>no</v>
      </c>
    </row>
    <row r="105" customFormat="false" ht="15" hidden="false" customHeight="false" outlineLevel="0" collapsed="false">
      <c r="A105" s="2" t="n">
        <v>209</v>
      </c>
      <c r="B105" s="2" t="s">
        <v>471</v>
      </c>
      <c r="C105" s="2" t="s">
        <v>450</v>
      </c>
      <c r="D105" s="2" t="n">
        <v>7.32</v>
      </c>
      <c r="E105" s="2" t="s">
        <v>462</v>
      </c>
      <c r="F105" s="2" t="s">
        <v>462</v>
      </c>
      <c r="G105" s="2" t="s">
        <v>447</v>
      </c>
      <c r="H105" s="2" t="n">
        <v>15.9</v>
      </c>
      <c r="I105" s="2" t="n">
        <v>65</v>
      </c>
      <c r="J105" s="2"/>
      <c r="K105" s="2"/>
      <c r="L105" s="2"/>
      <c r="M105" s="2" t="n">
        <v>7.32</v>
      </c>
      <c r="N105" s="2"/>
      <c r="O105" s="4" t="s">
        <v>71</v>
      </c>
      <c r="P105" s="4" t="s">
        <v>450</v>
      </c>
      <c r="Q105" s="2" t="n">
        <f aca="false">M105</f>
        <v>7.32</v>
      </c>
      <c r="R105" s="2" t="n">
        <f aca="false">MAX(0.1,ROUNDUP(ROUND(D105,6)*10,0)/10)</f>
        <v>7.4</v>
      </c>
      <c r="S105" s="2" t="n">
        <f aca="false">MAX(0.1,ROUNDUP(ROUND(Q105,6)*10,0)/10)</f>
        <v>7.4</v>
      </c>
      <c r="T105" s="2" t="str">
        <f aca="false">IF(R105&lt;&gt;S105,"yes","no")</f>
        <v>no</v>
      </c>
      <c r="U105" s="2"/>
      <c r="V105" s="2" t="n">
        <v>7.32</v>
      </c>
      <c r="W105" s="2" t="n">
        <f aca="false">MAX(0.1,ROUNDUP(ROUND(V105,6)*10,0)/10)</f>
        <v>7.4</v>
      </c>
      <c r="X105" s="2" t="str">
        <f aca="false">IF(W105&lt;&gt;S105,"yes","no")</f>
        <v>no</v>
      </c>
    </row>
    <row r="106" customFormat="false" ht="15" hidden="false" customHeight="false" outlineLevel="0" collapsed="false">
      <c r="A106" s="2" t="n">
        <v>159</v>
      </c>
      <c r="B106" s="2" t="s">
        <v>445</v>
      </c>
      <c r="C106" s="2" t="s">
        <v>450</v>
      </c>
      <c r="D106" s="2" t="n">
        <v>7.325</v>
      </c>
      <c r="E106" s="2" t="s">
        <v>459</v>
      </c>
      <c r="F106" s="2" t="s">
        <v>305</v>
      </c>
      <c r="G106" s="2" t="s">
        <v>463</v>
      </c>
      <c r="H106" s="2" t="n">
        <v>13.9</v>
      </c>
      <c r="I106" s="2" t="n">
        <v>95</v>
      </c>
      <c r="J106" s="2" t="n">
        <v>6800</v>
      </c>
      <c r="K106" s="2" t="n">
        <v>60</v>
      </c>
      <c r="L106" s="2" t="s">
        <v>464</v>
      </c>
      <c r="M106" s="2" t="n">
        <v>7.356</v>
      </c>
      <c r="N106" s="2" t="n">
        <v>0.1775</v>
      </c>
      <c r="O106" s="4" t="s">
        <v>71</v>
      </c>
      <c r="P106" s="4" t="s">
        <v>450</v>
      </c>
      <c r="Q106" s="2" t="n">
        <f aca="false">M106</f>
        <v>7.356</v>
      </c>
      <c r="R106" s="2" t="n">
        <f aca="false">MAX(0.1,ROUNDUP(ROUND(D106,6)*10,0)/10)</f>
        <v>7.4</v>
      </c>
      <c r="S106" s="2" t="n">
        <f aca="false">MAX(0.1,ROUNDUP(ROUND(Q106,6)*10,0)/10)</f>
        <v>7.4</v>
      </c>
      <c r="T106" s="2" t="str">
        <f aca="false">IF(R106&lt;&gt;S106,"yes","no")</f>
        <v>no</v>
      </c>
      <c r="U106" s="2"/>
      <c r="V106" s="2" t="n">
        <v>7.227</v>
      </c>
      <c r="W106" s="2" t="n">
        <f aca="false">MAX(0.1,ROUNDUP(ROUND(V106,6)*10,0)/10)</f>
        <v>7.3</v>
      </c>
      <c r="X106" s="2" t="str">
        <f aca="false">IF(W106&lt;&gt;S106,"yes","no")</f>
        <v>yes</v>
      </c>
    </row>
    <row r="107" customFormat="false" ht="15" hidden="false" customHeight="false" outlineLevel="0" collapsed="false">
      <c r="A107" s="2" t="n">
        <v>120</v>
      </c>
      <c r="B107" s="2" t="s">
        <v>484</v>
      </c>
      <c r="C107" s="2" t="s">
        <v>450</v>
      </c>
      <c r="D107" s="2" t="n">
        <v>7.451</v>
      </c>
      <c r="E107" s="2" t="s">
        <v>462</v>
      </c>
      <c r="F107" s="2" t="s">
        <v>462</v>
      </c>
      <c r="G107" s="2" t="s">
        <v>447</v>
      </c>
      <c r="H107" s="2" t="n">
        <v>9.8</v>
      </c>
      <c r="I107" s="2" t="n">
        <v>54</v>
      </c>
      <c r="J107" s="2"/>
      <c r="K107" s="2"/>
      <c r="L107" s="2"/>
      <c r="M107" s="2" t="n">
        <v>7.451</v>
      </c>
      <c r="N107" s="2"/>
      <c r="O107" s="4" t="s">
        <v>71</v>
      </c>
      <c r="P107" s="4" t="s">
        <v>450</v>
      </c>
      <c r="Q107" s="2" t="n">
        <f aca="false">M107</f>
        <v>7.451</v>
      </c>
      <c r="R107" s="2" t="n">
        <f aca="false">MAX(0.1,ROUNDUP(ROUND(D107,6)*10,0)/10)</f>
        <v>7.5</v>
      </c>
      <c r="S107" s="2" t="n">
        <f aca="false">MAX(0.1,ROUNDUP(ROUND(Q107,6)*10,0)/10)</f>
        <v>7.5</v>
      </c>
      <c r="T107" s="2" t="str">
        <f aca="false">IF(R107&lt;&gt;S107,"yes","no")</f>
        <v>no</v>
      </c>
      <c r="U107" s="2"/>
      <c r="V107" s="2" t="n">
        <v>7.451</v>
      </c>
      <c r="W107" s="2" t="n">
        <f aca="false">MAX(0.1,ROUNDUP(ROUND(V107,6)*10,0)/10)</f>
        <v>7.5</v>
      </c>
      <c r="X107" s="2" t="str">
        <f aca="false">IF(W107&lt;&gt;S107,"yes","no")</f>
        <v>no</v>
      </c>
    </row>
    <row r="108" customFormat="false" ht="15" hidden="false" customHeight="false" outlineLevel="0" collapsed="false">
      <c r="A108" s="2" t="n">
        <v>119</v>
      </c>
      <c r="B108" s="2" t="s">
        <v>484</v>
      </c>
      <c r="C108" s="2" t="s">
        <v>39</v>
      </c>
      <c r="D108" s="2" t="n">
        <v>7.459</v>
      </c>
      <c r="E108" s="2" t="s">
        <v>477</v>
      </c>
      <c r="F108" s="2" t="s">
        <v>477</v>
      </c>
      <c r="G108" s="2" t="s">
        <v>447</v>
      </c>
      <c r="H108" s="2" t="n">
        <v>9.55</v>
      </c>
      <c r="I108" s="2" t="n">
        <v>54</v>
      </c>
      <c r="J108" s="2"/>
      <c r="K108" s="2"/>
      <c r="L108" s="2"/>
      <c r="M108" s="2" t="n">
        <v>7.459</v>
      </c>
      <c r="N108" s="2"/>
      <c r="O108" s="4" t="s">
        <v>71</v>
      </c>
      <c r="P108" s="4" t="s">
        <v>450</v>
      </c>
      <c r="Q108" s="2" t="n">
        <f aca="false">M108</f>
        <v>7.459</v>
      </c>
      <c r="R108" s="2" t="n">
        <f aca="false">MAX(0.1,ROUNDUP(ROUND(D108,6)*10,0)/10)</f>
        <v>7.5</v>
      </c>
      <c r="S108" s="2" t="n">
        <f aca="false">MAX(0.1,ROUNDUP(ROUND(Q108,6)*10,0)/10)</f>
        <v>7.5</v>
      </c>
      <c r="T108" s="2" t="str">
        <f aca="false">IF(R108&lt;&gt;S108,"yes","no")</f>
        <v>no</v>
      </c>
      <c r="U108" s="5" t="s">
        <v>478</v>
      </c>
      <c r="V108" s="2" t="n">
        <v>7.459</v>
      </c>
      <c r="W108" s="2" t="n">
        <f aca="false">MAX(0.1,ROUNDUP(ROUND(V108,6)*10,0)/10)</f>
        <v>7.5</v>
      </c>
      <c r="X108" s="2" t="str">
        <f aca="false">IF(W108&lt;&gt;S108,"yes","no")</f>
        <v>no</v>
      </c>
    </row>
    <row r="109" customFormat="false" ht="15" hidden="false" customHeight="false" outlineLevel="0" collapsed="false">
      <c r="A109" s="2" t="n">
        <v>223</v>
      </c>
      <c r="B109" s="2" t="s">
        <v>453</v>
      </c>
      <c r="C109" s="2" t="s">
        <v>39</v>
      </c>
      <c r="D109" s="2" t="n">
        <v>7.46</v>
      </c>
      <c r="E109" s="2" t="s">
        <v>446</v>
      </c>
      <c r="F109" s="2" t="s">
        <v>262</v>
      </c>
      <c r="G109" s="2" t="s">
        <v>463</v>
      </c>
      <c r="H109" s="2" t="n">
        <v>6.925</v>
      </c>
      <c r="I109" s="2" t="n">
        <v>100</v>
      </c>
      <c r="J109" s="2" t="n">
        <v>6940</v>
      </c>
      <c r="K109" s="2" t="n">
        <v>60</v>
      </c>
      <c r="L109" s="2" t="s">
        <v>464</v>
      </c>
      <c r="M109" s="2" t="n">
        <v>7.483</v>
      </c>
      <c r="N109" s="2" t="n">
        <v>0.17</v>
      </c>
      <c r="O109" s="4" t="s">
        <v>71</v>
      </c>
      <c r="P109" s="4" t="s">
        <v>39</v>
      </c>
      <c r="Q109" s="2" t="n">
        <f aca="false">M109</f>
        <v>7.483</v>
      </c>
      <c r="R109" s="2" t="n">
        <f aca="false">MAX(0.1,ROUNDUP(ROUND(D109,6)*10,0)/10)</f>
        <v>7.5</v>
      </c>
      <c r="S109" s="2" t="n">
        <f aca="false">MAX(0.1,ROUNDUP(ROUND(Q109,6)*10,0)/10)</f>
        <v>7.5</v>
      </c>
      <c r="T109" s="2" t="str">
        <f aca="false">IF(R109&lt;&gt;S109,"yes","no")</f>
        <v>no</v>
      </c>
      <c r="U109" s="2"/>
      <c r="V109" s="2" t="n">
        <v>7.36</v>
      </c>
      <c r="W109" s="2" t="n">
        <f aca="false">MAX(0.1,ROUNDUP(ROUND(V109,6)*10,0)/10)</f>
        <v>7.4</v>
      </c>
      <c r="X109" s="2" t="str">
        <f aca="false">IF(W109&lt;&gt;S109,"yes","no")</f>
        <v>yes</v>
      </c>
    </row>
    <row r="110" customFormat="false" ht="15" hidden="false" customHeight="false" outlineLevel="0" collapsed="false">
      <c r="A110" s="2" t="n">
        <v>118</v>
      </c>
      <c r="B110" s="2" t="s">
        <v>484</v>
      </c>
      <c r="C110" s="2" t="s">
        <v>39</v>
      </c>
      <c r="D110" s="2" t="n">
        <v>7.512</v>
      </c>
      <c r="E110" s="2" t="s">
        <v>477</v>
      </c>
      <c r="F110" s="2" t="s">
        <v>477</v>
      </c>
      <c r="G110" s="2" t="s">
        <v>447</v>
      </c>
      <c r="H110" s="2" t="n">
        <v>6.575</v>
      </c>
      <c r="I110" s="2" t="n">
        <v>58</v>
      </c>
      <c r="J110" s="2"/>
      <c r="K110" s="2"/>
      <c r="L110" s="2"/>
      <c r="M110" s="2" t="n">
        <v>7.512</v>
      </c>
      <c r="N110" s="2"/>
      <c r="O110" s="4" t="s">
        <v>71</v>
      </c>
      <c r="P110" s="4" t="s">
        <v>450</v>
      </c>
      <c r="Q110" s="2" t="n">
        <f aca="false">M110</f>
        <v>7.512</v>
      </c>
      <c r="R110" s="2" t="n">
        <f aca="false">MAX(0.1,ROUNDUP(ROUND(D110,6)*10,0)/10)</f>
        <v>7.6</v>
      </c>
      <c r="S110" s="2" t="n">
        <f aca="false">MAX(0.1,ROUNDUP(ROUND(Q110,6)*10,0)/10)</f>
        <v>7.6</v>
      </c>
      <c r="T110" s="2" t="str">
        <f aca="false">IF(R110&lt;&gt;S110,"yes","no")</f>
        <v>no</v>
      </c>
      <c r="U110" s="5" t="s">
        <v>478</v>
      </c>
      <c r="V110" s="2" t="n">
        <v>7.512</v>
      </c>
      <c r="W110" s="2" t="n">
        <f aca="false">MAX(0.1,ROUNDUP(ROUND(V110,6)*10,0)/10)</f>
        <v>7.6</v>
      </c>
      <c r="X110" s="2" t="str">
        <f aca="false">IF(W110&lt;&gt;S110,"yes","no")</f>
        <v>no</v>
      </c>
    </row>
    <row r="111" customFormat="false" ht="15" hidden="false" customHeight="false" outlineLevel="0" collapsed="false">
      <c r="A111" s="2" t="n">
        <v>185</v>
      </c>
      <c r="B111" s="2" t="s">
        <v>461</v>
      </c>
      <c r="C111" s="2" t="s">
        <v>450</v>
      </c>
      <c r="D111" s="2" t="n">
        <v>7.66</v>
      </c>
      <c r="E111" s="2" t="s">
        <v>459</v>
      </c>
      <c r="F111" s="2" t="s">
        <v>305</v>
      </c>
      <c r="G111" s="2" t="s">
        <v>463</v>
      </c>
      <c r="H111" s="2" t="n">
        <v>13.825</v>
      </c>
      <c r="I111" s="2" t="n">
        <v>160</v>
      </c>
      <c r="J111" s="2" t="n">
        <v>7180</v>
      </c>
      <c r="K111" s="2" t="n">
        <v>90</v>
      </c>
      <c r="L111" s="2" t="s">
        <v>464</v>
      </c>
      <c r="M111" s="2" t="n">
        <v>7.709</v>
      </c>
      <c r="N111" s="2" t="n">
        <v>0.217</v>
      </c>
      <c r="O111" s="4" t="s">
        <v>71</v>
      </c>
      <c r="P111" s="4" t="s">
        <v>450</v>
      </c>
      <c r="Q111" s="2" t="n">
        <f aca="false">M111</f>
        <v>7.709</v>
      </c>
      <c r="R111" s="2" t="n">
        <f aca="false">MAX(0.1,ROUNDUP(ROUND(D111,6)*10,0)/10)</f>
        <v>7.7</v>
      </c>
      <c r="S111" s="2" t="n">
        <f aca="false">MAX(0.1,ROUNDUP(ROUND(Q111,6)*10,0)/10)</f>
        <v>7.8</v>
      </c>
      <c r="T111" s="2" t="str">
        <f aca="false">IF(R111&lt;&gt;S111,"yes","no")</f>
        <v>yes</v>
      </c>
      <c r="U111" s="2"/>
      <c r="V111" s="2" t="n">
        <v>7.582</v>
      </c>
      <c r="W111" s="2" t="n">
        <f aca="false">MAX(0.1,ROUNDUP(ROUND(V111,6)*10,0)/10)</f>
        <v>7.6</v>
      </c>
      <c r="X111" s="2" t="str">
        <f aca="false">IF(W111&lt;&gt;S111,"yes","no")</f>
        <v>yes</v>
      </c>
    </row>
    <row r="112" customFormat="false" ht="15" hidden="false" customHeight="false" outlineLevel="0" collapsed="false">
      <c r="A112" s="2" t="n">
        <v>177</v>
      </c>
      <c r="B112" s="2" t="s">
        <v>473</v>
      </c>
      <c r="C112" s="2" t="s">
        <v>39</v>
      </c>
      <c r="D112" s="2" t="n">
        <v>7.685</v>
      </c>
      <c r="E112" s="2" t="s">
        <v>446</v>
      </c>
      <c r="F112" s="2" t="s">
        <v>262</v>
      </c>
      <c r="G112" s="2" t="s">
        <v>463</v>
      </c>
      <c r="H112" s="2" t="n">
        <v>9.525</v>
      </c>
      <c r="I112" s="2" t="n">
        <v>105</v>
      </c>
      <c r="J112" s="2" t="n">
        <v>7220</v>
      </c>
      <c r="K112" s="2" t="n">
        <v>60</v>
      </c>
      <c r="L112" s="2" t="s">
        <v>464</v>
      </c>
      <c r="M112" s="2" t="n">
        <v>7.745</v>
      </c>
      <c r="N112" s="2" t="n">
        <v>0.1755</v>
      </c>
      <c r="O112" s="4" t="s">
        <v>71</v>
      </c>
      <c r="P112" s="4" t="s">
        <v>39</v>
      </c>
      <c r="Q112" s="2" t="n">
        <f aca="false">M112</f>
        <v>7.745</v>
      </c>
      <c r="R112" s="2" t="n">
        <f aca="false">MAX(0.1,ROUNDUP(ROUND(D112,6)*10,0)/10)</f>
        <v>7.7</v>
      </c>
      <c r="S112" s="2" t="n">
        <f aca="false">MAX(0.1,ROUNDUP(ROUND(Q112,6)*10,0)/10)</f>
        <v>7.8</v>
      </c>
      <c r="T112" s="2" t="str">
        <f aca="false">IF(R112&lt;&gt;S112,"yes","no")</f>
        <v>yes</v>
      </c>
      <c r="U112" s="2"/>
      <c r="V112" s="2" t="n">
        <v>7.618</v>
      </c>
      <c r="W112" s="2" t="n">
        <f aca="false">MAX(0.1,ROUNDUP(ROUND(V112,6)*10,0)/10)</f>
        <v>7.7</v>
      </c>
      <c r="X112" s="2" t="str">
        <f aca="false">IF(W112&lt;&gt;S112,"yes","no")</f>
        <v>yes</v>
      </c>
    </row>
    <row r="113" customFormat="false" ht="15" hidden="false" customHeight="false" outlineLevel="0" collapsed="false">
      <c r="A113" s="2" t="n">
        <v>169</v>
      </c>
      <c r="B113" s="2" t="s">
        <v>458</v>
      </c>
      <c r="C113" s="2" t="s">
        <v>39</v>
      </c>
      <c r="D113" s="2" t="n">
        <v>7.705</v>
      </c>
      <c r="E113" s="2" t="s">
        <v>446</v>
      </c>
      <c r="F113" s="2" t="s">
        <v>262</v>
      </c>
      <c r="G113" s="2" t="s">
        <v>463</v>
      </c>
      <c r="H113" s="2" t="n">
        <v>8.3</v>
      </c>
      <c r="I113" s="2" t="n">
        <v>155</v>
      </c>
      <c r="J113" s="2" t="n">
        <v>7220</v>
      </c>
      <c r="K113" s="2" t="n">
        <v>90</v>
      </c>
      <c r="L113" s="2" t="s">
        <v>464</v>
      </c>
      <c r="M113" s="2" t="n">
        <v>7.747</v>
      </c>
      <c r="N113" s="2" t="n">
        <v>0.216</v>
      </c>
      <c r="O113" s="4" t="s">
        <v>71</v>
      </c>
      <c r="P113" s="4" t="s">
        <v>39</v>
      </c>
      <c r="Q113" s="2" t="n">
        <f aca="false">M113</f>
        <v>7.747</v>
      </c>
      <c r="R113" s="2" t="n">
        <f aca="false">MAX(0.1,ROUNDUP(ROUND(D113,6)*10,0)/10)</f>
        <v>7.8</v>
      </c>
      <c r="S113" s="2" t="n">
        <f aca="false">MAX(0.1,ROUNDUP(ROUND(Q113,6)*10,0)/10)</f>
        <v>7.8</v>
      </c>
      <c r="T113" s="2" t="str">
        <f aca="false">IF(R113&lt;&gt;S113,"yes","no")</f>
        <v>no</v>
      </c>
      <c r="U113" s="2"/>
      <c r="V113" s="2" t="n">
        <v>7.62</v>
      </c>
      <c r="W113" s="2" t="n">
        <f aca="false">MAX(0.1,ROUNDUP(ROUND(V113,6)*10,0)/10)</f>
        <v>7.7</v>
      </c>
      <c r="X113" s="2" t="str">
        <f aca="false">IF(W113&lt;&gt;S113,"yes","no")</f>
        <v>yes</v>
      </c>
    </row>
    <row r="114" customFormat="false" ht="15" hidden="false" customHeight="false" outlineLevel="0" collapsed="false">
      <c r="A114" s="2" t="n">
        <v>210</v>
      </c>
      <c r="B114" s="2" t="s">
        <v>471</v>
      </c>
      <c r="C114" s="2" t="s">
        <v>39</v>
      </c>
      <c r="D114" s="2" t="n">
        <v>7.706</v>
      </c>
      <c r="E114" s="2" t="s">
        <v>477</v>
      </c>
      <c r="F114" s="2" t="s">
        <v>477</v>
      </c>
      <c r="G114" s="2" t="s">
        <v>447</v>
      </c>
      <c r="H114" s="2" t="n">
        <v>18.5</v>
      </c>
      <c r="I114" s="2" t="n">
        <v>55</v>
      </c>
      <c r="J114" s="2"/>
      <c r="K114" s="2"/>
      <c r="L114" s="2"/>
      <c r="M114" s="2" t="n">
        <v>7.706</v>
      </c>
      <c r="N114" s="2"/>
      <c r="O114" s="4" t="s">
        <v>71</v>
      </c>
      <c r="P114" s="4" t="s">
        <v>450</v>
      </c>
      <c r="Q114" s="2" t="n">
        <f aca="false">M114</f>
        <v>7.706</v>
      </c>
      <c r="R114" s="2" t="n">
        <f aca="false">MAX(0.1,ROUNDUP(ROUND(D114,6)*10,0)/10)</f>
        <v>7.8</v>
      </c>
      <c r="S114" s="2" t="n">
        <f aca="false">MAX(0.1,ROUNDUP(ROUND(Q114,6)*10,0)/10)</f>
        <v>7.8</v>
      </c>
      <c r="T114" s="2" t="str">
        <f aca="false">IF(R114&lt;&gt;S114,"yes","no")</f>
        <v>no</v>
      </c>
      <c r="U114" s="5" t="s">
        <v>478</v>
      </c>
      <c r="V114" s="2" t="n">
        <v>7.706</v>
      </c>
      <c r="W114" s="2" t="n">
        <f aca="false">MAX(0.1,ROUNDUP(ROUND(V114,6)*10,0)/10)</f>
        <v>7.8</v>
      </c>
      <c r="X114" s="2" t="str">
        <f aca="false">IF(W114&lt;&gt;S114,"yes","no")</f>
        <v>no</v>
      </c>
    </row>
    <row r="115" customFormat="false" ht="15" hidden="false" customHeight="false" outlineLevel="0" collapsed="false">
      <c r="A115" s="2" t="n">
        <v>121</v>
      </c>
      <c r="B115" s="2" t="s">
        <v>484</v>
      </c>
      <c r="C115" s="2" t="s">
        <v>450</v>
      </c>
      <c r="D115" s="2" t="n">
        <v>7.785</v>
      </c>
      <c r="E115" s="2" t="s">
        <v>462</v>
      </c>
      <c r="F115" s="2"/>
      <c r="G115" s="2" t="s">
        <v>463</v>
      </c>
      <c r="H115" s="2" t="n">
        <v>11.45</v>
      </c>
      <c r="I115" s="2" t="n">
        <v>140</v>
      </c>
      <c r="J115" s="2" t="n">
        <v>7326</v>
      </c>
      <c r="K115" s="2" t="n">
        <v>70</v>
      </c>
      <c r="L115" s="2" t="s">
        <v>466</v>
      </c>
      <c r="M115" s="2" t="n">
        <v>7.848</v>
      </c>
      <c r="N115" s="2" t="n">
        <v>0.197</v>
      </c>
      <c r="O115" s="4" t="s">
        <v>71</v>
      </c>
      <c r="P115" s="4" t="s">
        <v>450</v>
      </c>
      <c r="Q115" s="2" t="n">
        <f aca="false">M115</f>
        <v>7.848</v>
      </c>
      <c r="R115" s="2" t="n">
        <f aca="false">MAX(0.1,ROUNDUP(ROUND(D115,6)*10,0)/10)</f>
        <v>7.8</v>
      </c>
      <c r="S115" s="2" t="n">
        <f aca="false">MAX(0.1,ROUNDUP(ROUND(Q115,6)*10,0)/10)</f>
        <v>7.9</v>
      </c>
      <c r="T115" s="2" t="str">
        <f aca="false">IF(R115&lt;&gt;S115,"yes","no")</f>
        <v>yes</v>
      </c>
      <c r="U115" s="5" t="s">
        <v>467</v>
      </c>
      <c r="V115" s="2" t="n">
        <v>7.72</v>
      </c>
      <c r="W115" s="2" t="n">
        <f aca="false">MAX(0.1,ROUNDUP(ROUND(V115,6)*10,0)/10)</f>
        <v>7.8</v>
      </c>
      <c r="X115" s="2" t="str">
        <f aca="false">IF(W115&lt;&gt;S115,"yes","no")</f>
        <v>yes</v>
      </c>
    </row>
    <row r="116" customFormat="false" ht="15" hidden="false" customHeight="false" outlineLevel="0" collapsed="false">
      <c r="A116" s="2" t="n">
        <v>218</v>
      </c>
      <c r="B116" s="2" t="s">
        <v>460</v>
      </c>
      <c r="C116" s="2" t="s">
        <v>450</v>
      </c>
      <c r="D116" s="2" t="n">
        <v>8.04</v>
      </c>
      <c r="E116" s="2" t="s">
        <v>459</v>
      </c>
      <c r="F116" s="2" t="s">
        <v>305</v>
      </c>
      <c r="G116" s="2" t="s">
        <v>463</v>
      </c>
      <c r="H116" s="2" t="n">
        <v>18.75</v>
      </c>
      <c r="I116" s="2" t="n">
        <v>120</v>
      </c>
      <c r="J116" s="2" t="n">
        <v>7570</v>
      </c>
      <c r="K116" s="2" t="n">
        <v>60</v>
      </c>
      <c r="L116" s="2" t="s">
        <v>464</v>
      </c>
      <c r="M116" s="2" t="n">
        <v>8.1</v>
      </c>
      <c r="N116" s="2" t="n">
        <v>0.188</v>
      </c>
      <c r="O116" s="4" t="s">
        <v>71</v>
      </c>
      <c r="P116" s="4" t="s">
        <v>450</v>
      </c>
      <c r="Q116" s="2" t="n">
        <f aca="false">M116</f>
        <v>8.1</v>
      </c>
      <c r="R116" s="2" t="n">
        <f aca="false">MAX(0.1,ROUNDUP(ROUND(D116,6)*10,0)/10)</f>
        <v>8.1</v>
      </c>
      <c r="S116" s="2" t="n">
        <f aca="false">MAX(0.1,ROUNDUP(ROUND(Q116,6)*10,0)/10)</f>
        <v>8.1</v>
      </c>
      <c r="T116" s="2" t="str">
        <f aca="false">IF(R116&lt;&gt;S116,"yes","no")</f>
        <v>no</v>
      </c>
      <c r="U116" s="2"/>
      <c r="V116" s="2" t="n">
        <v>7.963</v>
      </c>
      <c r="W116" s="2" t="n">
        <f aca="false">MAX(0.1,ROUNDUP(ROUND(V116,6)*10,0)/10)</f>
        <v>8</v>
      </c>
      <c r="X116" s="2" t="str">
        <f aca="false">IF(W116&lt;&gt;S116,"yes","no")</f>
        <v>yes</v>
      </c>
    </row>
    <row r="117" customFormat="false" ht="15" hidden="false" customHeight="false" outlineLevel="0" collapsed="false">
      <c r="A117" s="2" t="n">
        <v>178</v>
      </c>
      <c r="B117" s="2" t="s">
        <v>473</v>
      </c>
      <c r="C117" s="2" t="s">
        <v>39</v>
      </c>
      <c r="D117" s="2" t="n">
        <v>8.148</v>
      </c>
      <c r="E117" s="2" t="s">
        <v>446</v>
      </c>
      <c r="F117" s="2"/>
      <c r="G117" s="2" t="s">
        <v>480</v>
      </c>
      <c r="H117" s="2" t="n">
        <v>11.2</v>
      </c>
      <c r="I117" s="2" t="n">
        <v>52</v>
      </c>
      <c r="J117" s="2"/>
      <c r="K117" s="2"/>
      <c r="L117" s="2"/>
      <c r="M117" s="2" t="n">
        <v>8.148</v>
      </c>
      <c r="N117" s="2"/>
      <c r="O117" s="4" t="s">
        <v>71</v>
      </c>
      <c r="P117" s="4" t="s">
        <v>39</v>
      </c>
      <c r="Q117" s="2" t="n">
        <f aca="false">M117</f>
        <v>8.148</v>
      </c>
      <c r="R117" s="2" t="n">
        <f aca="false">MAX(0.1,ROUNDUP(ROUND(D117,6)*10,0)/10)</f>
        <v>8.2</v>
      </c>
      <c r="S117" s="2" t="n">
        <f aca="false">MAX(0.1,ROUNDUP(ROUND(Q117,6)*10,0)/10)</f>
        <v>8.2</v>
      </c>
      <c r="T117" s="2" t="str">
        <f aca="false">IF(R117&lt;&gt;S117,"yes","no")</f>
        <v>no</v>
      </c>
      <c r="U117" s="2"/>
      <c r="V117" s="2" t="n">
        <v>8.148</v>
      </c>
      <c r="W117" s="2" t="n">
        <f aca="false">MAX(0.1,ROUNDUP(ROUND(V117,6)*10,0)/10)</f>
        <v>8.2</v>
      </c>
      <c r="X117" s="2" t="str">
        <f aca="false">IF(W117&lt;&gt;S117,"yes","no")</f>
        <v>no</v>
      </c>
    </row>
    <row r="118" customFormat="false" ht="15" hidden="false" customHeight="false" outlineLevel="0" collapsed="false">
      <c r="A118" s="2" t="n">
        <v>164</v>
      </c>
      <c r="B118" s="2" t="s">
        <v>456</v>
      </c>
      <c r="C118" s="2" t="s">
        <v>450</v>
      </c>
      <c r="D118" s="2" t="n">
        <v>8.165</v>
      </c>
      <c r="E118" s="2" t="s">
        <v>462</v>
      </c>
      <c r="F118" s="2" t="s">
        <v>462</v>
      </c>
      <c r="G118" s="2" t="s">
        <v>447</v>
      </c>
      <c r="H118" s="2" t="n">
        <v>4.225</v>
      </c>
      <c r="I118" s="2" t="n">
        <v>76</v>
      </c>
      <c r="J118" s="2"/>
      <c r="K118" s="2"/>
      <c r="L118" s="2"/>
      <c r="M118" s="2" t="n">
        <v>8.165</v>
      </c>
      <c r="N118" s="2"/>
      <c r="O118" s="4" t="s">
        <v>71</v>
      </c>
      <c r="P118" s="4" t="s">
        <v>450</v>
      </c>
      <c r="Q118" s="2" t="n">
        <f aca="false">M118</f>
        <v>8.165</v>
      </c>
      <c r="R118" s="2" t="n">
        <f aca="false">MAX(0.1,ROUNDUP(ROUND(D118,6)*10,0)/10)</f>
        <v>8.2</v>
      </c>
      <c r="S118" s="2" t="n">
        <f aca="false">MAX(0.1,ROUNDUP(ROUND(Q118,6)*10,0)/10)</f>
        <v>8.2</v>
      </c>
      <c r="T118" s="2" t="str">
        <f aca="false">IF(R118&lt;&gt;S118,"yes","no")</f>
        <v>no</v>
      </c>
      <c r="U118" s="2"/>
      <c r="V118" s="2" t="n">
        <v>8.165</v>
      </c>
      <c r="W118" s="2" t="n">
        <f aca="false">MAX(0.1,ROUNDUP(ROUND(V118,6)*10,0)/10)</f>
        <v>8.2</v>
      </c>
      <c r="X118" s="2" t="str">
        <f aca="false">IF(W118&lt;&gt;S118,"yes","no")</f>
        <v>no</v>
      </c>
    </row>
    <row r="119" customFormat="false" ht="15" hidden="false" customHeight="false" outlineLevel="0" collapsed="false">
      <c r="A119" s="2" t="n">
        <v>211</v>
      </c>
      <c r="B119" s="2" t="s">
        <v>471</v>
      </c>
      <c r="C119" s="2" t="s">
        <v>450</v>
      </c>
      <c r="D119" s="2" t="n">
        <v>8.26</v>
      </c>
      <c r="E119" s="2" t="s">
        <v>459</v>
      </c>
      <c r="F119" s="2" t="s">
        <v>305</v>
      </c>
      <c r="G119" s="2" t="s">
        <v>463</v>
      </c>
      <c r="H119" s="2" t="n">
        <v>19</v>
      </c>
      <c r="I119" s="2" t="n">
        <v>110</v>
      </c>
      <c r="J119" s="2" t="n">
        <v>7790</v>
      </c>
      <c r="K119" s="2" t="n">
        <v>60</v>
      </c>
      <c r="L119" s="2" t="s">
        <v>464</v>
      </c>
      <c r="M119" s="2" t="n">
        <v>8.331</v>
      </c>
      <c r="N119" s="2" t="n">
        <v>0.192</v>
      </c>
      <c r="O119" s="4" t="s">
        <v>71</v>
      </c>
      <c r="P119" s="4" t="s">
        <v>450</v>
      </c>
      <c r="Q119" s="2" t="n">
        <f aca="false">M119</f>
        <v>8.331</v>
      </c>
      <c r="R119" s="2" t="n">
        <f aca="false">MAX(0.1,ROUNDUP(ROUND(D119,6)*10,0)/10)</f>
        <v>8.3</v>
      </c>
      <c r="S119" s="2" t="n">
        <f aca="false">MAX(0.1,ROUNDUP(ROUND(Q119,6)*10,0)/10)</f>
        <v>8.4</v>
      </c>
      <c r="T119" s="2" t="str">
        <f aca="false">IF(R119&lt;&gt;S119,"yes","no")</f>
        <v>yes</v>
      </c>
      <c r="U119" s="2"/>
      <c r="V119" s="2" t="n">
        <v>8.191</v>
      </c>
      <c r="W119" s="2" t="n">
        <f aca="false">MAX(0.1,ROUNDUP(ROUND(V119,6)*10,0)/10)</f>
        <v>8.2</v>
      </c>
      <c r="X119" s="2" t="str">
        <f aca="false">IF(W119&lt;&gt;S119,"yes","no")</f>
        <v>yes</v>
      </c>
    </row>
    <row r="120" customFormat="false" ht="15" hidden="false" customHeight="false" outlineLevel="0" collapsed="false">
      <c r="A120" s="2" t="n">
        <v>170</v>
      </c>
      <c r="B120" s="2" t="s">
        <v>458</v>
      </c>
      <c r="C120" s="2" t="s">
        <v>39</v>
      </c>
      <c r="D120" s="2" t="n">
        <v>8.307</v>
      </c>
      <c r="E120" s="2" t="s">
        <v>446</v>
      </c>
      <c r="F120" s="2" t="s">
        <v>262</v>
      </c>
      <c r="G120" s="2" t="s">
        <v>447</v>
      </c>
      <c r="H120" s="2" t="n">
        <v>17.1</v>
      </c>
      <c r="I120" s="2" t="n">
        <v>64</v>
      </c>
      <c r="J120" s="2"/>
      <c r="K120" s="2"/>
      <c r="L120" s="2"/>
      <c r="M120" s="2" t="n">
        <v>8.307</v>
      </c>
      <c r="N120" s="2"/>
      <c r="O120" s="4" t="s">
        <v>71</v>
      </c>
      <c r="P120" s="4" t="s">
        <v>39</v>
      </c>
      <c r="Q120" s="2" t="n">
        <f aca="false">M120</f>
        <v>8.307</v>
      </c>
      <c r="R120" s="2" t="n">
        <f aca="false">MAX(0.1,ROUNDUP(ROUND(D120,6)*10,0)/10)</f>
        <v>8.4</v>
      </c>
      <c r="S120" s="2" t="n">
        <f aca="false">MAX(0.1,ROUNDUP(ROUND(Q120,6)*10,0)/10)</f>
        <v>8.4</v>
      </c>
      <c r="T120" s="2" t="str">
        <f aca="false">IF(R120&lt;&gt;S120,"yes","no")</f>
        <v>no</v>
      </c>
      <c r="U120" s="2"/>
      <c r="V120" s="2" t="n">
        <v>8.307</v>
      </c>
      <c r="W120" s="2" t="n">
        <f aca="false">MAX(0.1,ROUNDUP(ROUND(V120,6)*10,0)/10)</f>
        <v>8.4</v>
      </c>
      <c r="X120" s="2" t="str">
        <f aca="false">IF(W120&lt;&gt;S120,"yes","no")</f>
        <v>no</v>
      </c>
    </row>
    <row r="121" customFormat="false" ht="15" hidden="false" customHeight="false" outlineLevel="0" collapsed="false">
      <c r="A121" s="2" t="n">
        <v>186</v>
      </c>
      <c r="B121" s="2" t="s">
        <v>461</v>
      </c>
      <c r="C121" s="2" t="s">
        <v>450</v>
      </c>
      <c r="D121" s="2" t="n">
        <v>8.521</v>
      </c>
      <c r="E121" s="2" t="s">
        <v>462</v>
      </c>
      <c r="F121" s="2" t="s">
        <v>462</v>
      </c>
      <c r="G121" s="2" t="s">
        <v>447</v>
      </c>
      <c r="H121" s="2" t="n">
        <v>13.925</v>
      </c>
      <c r="I121" s="2" t="n">
        <v>80</v>
      </c>
      <c r="J121" s="2"/>
      <c r="K121" s="2"/>
      <c r="L121" s="2"/>
      <c r="M121" s="2" t="n">
        <v>8.521</v>
      </c>
      <c r="N121" s="2"/>
      <c r="O121" s="4" t="s">
        <v>71</v>
      </c>
      <c r="P121" s="4" t="s">
        <v>450</v>
      </c>
      <c r="Q121" s="2" t="n">
        <f aca="false">M121</f>
        <v>8.521</v>
      </c>
      <c r="R121" s="2" t="n">
        <f aca="false">MAX(0.1,ROUNDUP(ROUND(D121,6)*10,0)/10)</f>
        <v>8.6</v>
      </c>
      <c r="S121" s="2" t="n">
        <f aca="false">MAX(0.1,ROUNDUP(ROUND(Q121,6)*10,0)/10)</f>
        <v>8.6</v>
      </c>
      <c r="T121" s="2" t="str">
        <f aca="false">IF(R121&lt;&gt;S121,"yes","no")</f>
        <v>no</v>
      </c>
      <c r="U121" s="2"/>
      <c r="V121" s="2" t="n">
        <v>8.521</v>
      </c>
      <c r="W121" s="2" t="n">
        <f aca="false">MAX(0.1,ROUNDUP(ROUND(V121,6)*10,0)/10)</f>
        <v>8.6</v>
      </c>
      <c r="X121" s="2" t="str">
        <f aca="false">IF(W121&lt;&gt;S121,"yes","no")</f>
        <v>no</v>
      </c>
    </row>
    <row r="122" customFormat="false" ht="15" hidden="false" customHeight="false" outlineLevel="0" collapsed="false">
      <c r="A122" s="2" t="n">
        <v>179</v>
      </c>
      <c r="B122" s="2" t="s">
        <v>473</v>
      </c>
      <c r="C122" s="2" t="s">
        <v>39</v>
      </c>
      <c r="D122" s="2" t="n">
        <v>9.002</v>
      </c>
      <c r="E122" s="2" t="s">
        <v>477</v>
      </c>
      <c r="F122" s="2" t="s">
        <v>477</v>
      </c>
      <c r="G122" s="2" t="s">
        <v>447</v>
      </c>
      <c r="H122" s="2" t="n">
        <v>11.6</v>
      </c>
      <c r="I122" s="2" t="n">
        <v>74</v>
      </c>
      <c r="J122" s="2"/>
      <c r="K122" s="2"/>
      <c r="L122" s="2"/>
      <c r="M122" s="2" t="n">
        <v>9.002</v>
      </c>
      <c r="N122" s="2"/>
      <c r="O122" s="4" t="s">
        <v>71</v>
      </c>
      <c r="P122" s="4" t="s">
        <v>450</v>
      </c>
      <c r="Q122" s="2" t="n">
        <f aca="false">M122</f>
        <v>9.002</v>
      </c>
      <c r="R122" s="2" t="n">
        <f aca="false">MAX(0.1,ROUNDUP(ROUND(D122,6)*10,0)/10)</f>
        <v>9.1</v>
      </c>
      <c r="S122" s="2" t="n">
        <f aca="false">MAX(0.1,ROUNDUP(ROUND(Q122,6)*10,0)/10)</f>
        <v>9.1</v>
      </c>
      <c r="T122" s="2" t="str">
        <f aca="false">IF(R122&lt;&gt;S122,"yes","no")</f>
        <v>no</v>
      </c>
      <c r="U122" s="5" t="s">
        <v>478</v>
      </c>
      <c r="V122" s="2" t="n">
        <v>9.002</v>
      </c>
      <c r="W122" s="2" t="n">
        <f aca="false">MAX(0.1,ROUNDUP(ROUND(V122,6)*10,0)/10)</f>
        <v>9.1</v>
      </c>
      <c r="X122" s="2" t="str">
        <f aca="false">IF(W122&lt;&gt;S122,"yes","no")</f>
        <v>no</v>
      </c>
    </row>
    <row r="124" customFormat="false" ht="15" hidden="false" customHeight="false" outlineLevel="0" collapsed="false">
      <c r="A124" s="1" t="s">
        <v>492</v>
      </c>
      <c r="D124" s="2" t="n">
        <f aca="false">COUNTIFS(C2:C122,"palmata",D2:D122,"&lt;=6")</f>
        <v>41</v>
      </c>
    </row>
    <row r="125" customFormat="false" ht="15" hidden="false" customHeight="false" outlineLevel="0" collapsed="false">
      <c r="A125" s="1" t="s">
        <v>493</v>
      </c>
      <c r="D125" s="2" t="n">
        <f aca="false">COUNTIFS(P2:P122,"palmata",Q2:Q122,"&lt;=6",O2:O122,"yes")</f>
        <v>39</v>
      </c>
    </row>
    <row r="126" customFormat="false" ht="15" hidden="false" customHeight="false" outlineLevel="0" collapsed="false">
      <c r="A126" s="1" t="s">
        <v>494</v>
      </c>
      <c r="D126" s="2" t="n">
        <f aca="false">COUNTIFS(P2:P122,"palmata",Q2:Q122,"&lt;=6",O2:O122,"yes",G2:G122,"U-Th*")</f>
        <v>21</v>
      </c>
    </row>
    <row r="127" customFormat="false" ht="15" hidden="false" customHeight="false" outlineLevel="0" collapsed="false">
      <c r="A127" s="1" t="s">
        <v>495</v>
      </c>
      <c r="D127" s="2" t="n">
        <f aca="false">COUNTIFS(P2:P122,"palmata",Q2:Q122,"&lt;=6",O2:O122,"yes",G2:G122,"14C*")</f>
        <v>18</v>
      </c>
    </row>
    <row r="128" customFormat="false" ht="15" hidden="false" customHeight="false" outlineLevel="0" collapsed="false">
      <c r="A128" s="1" t="s">
        <v>496</v>
      </c>
      <c r="D128" s="2" t="n">
        <f aca="false">COUNTIFS(P2:P122,"palmata",Q2:Q122,"&lt;=6",O2:O122,"yes",T2:T122,"yes")</f>
        <v>18</v>
      </c>
    </row>
    <row r="129" customFormat="false" ht="15" hidden="false" customHeight="false" outlineLevel="0" collapsed="false">
      <c r="A129" s="1" t="s">
        <v>497</v>
      </c>
      <c r="D129" s="2" t="n">
        <f aca="false">COUNTIFS(P2:P122,"palmata",V2:V122,"&lt;=6",O2:O122,"yes")</f>
        <v>40</v>
      </c>
    </row>
    <row r="130" customFormat="false" ht="15" hidden="false" customHeight="false" outlineLevel="0" collapsed="false">
      <c r="A130" s="7" t="s">
        <v>498</v>
      </c>
      <c r="D130" s="2" t="n">
        <f aca="false">COUNTIFS(P2:P122,"palmata",V2:V122,"&lt;=6",O2:O122,"yes",X2:X122,"yes")</f>
        <v>19</v>
      </c>
    </row>
    <row r="131" customFormat="false" ht="15" hidden="false" customHeight="false" outlineLevel="0" collapsed="false">
      <c r="A131" s="7" t="s">
        <v>499</v>
      </c>
    </row>
    <row r="132" customFormat="false" ht="15" hidden="false" customHeight="false" outlineLevel="0" collapsed="false">
      <c r="A132" s="7" t="s">
        <v>500</v>
      </c>
    </row>
    <row r="133" customFormat="false" ht="15" hidden="false" customHeight="false" outlineLevel="0" collapsed="false">
      <c r="A133" s="7" t="s">
        <v>501</v>
      </c>
    </row>
    <row r="134" customFormat="false" ht="15" hidden="false" customHeight="false" outlineLevel="0" collapsed="false">
      <c r="A134" s="7" t="s">
        <v>502</v>
      </c>
    </row>
    <row r="135" customFormat="false" ht="15" hidden="false" customHeight="false" outlineLevel="0" collapsed="false">
      <c r="A135" s="7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6"/>
    <col collapsed="false" customWidth="true" hidden="false" outlineLevel="0" max="15" min="14" style="0" width="7"/>
    <col collapsed="false" customWidth="true" hidden="false" outlineLevel="0" max="16" min="16" style="0" width="8"/>
    <col collapsed="false" customWidth="true" hidden="false" outlineLevel="0" max="17" min="17" style="0" width="90"/>
  </cols>
  <sheetData>
    <row r="1" customFormat="false" ht="39.55" hidden="false" customHeight="false" outlineLevel="0" collapsed="false">
      <c r="A1" s="3" t="s">
        <v>504</v>
      </c>
      <c r="B1" s="3" t="s">
        <v>505</v>
      </c>
      <c r="C1" s="3" t="s">
        <v>506</v>
      </c>
      <c r="D1" s="3" t="s">
        <v>507</v>
      </c>
      <c r="E1" s="3" t="s">
        <v>244</v>
      </c>
      <c r="F1" s="3" t="s">
        <v>246</v>
      </c>
      <c r="G1" s="3" t="s">
        <v>247</v>
      </c>
      <c r="H1" s="3" t="s">
        <v>508</v>
      </c>
      <c r="I1" s="3" t="s">
        <v>27</v>
      </c>
      <c r="J1" s="3" t="s">
        <v>509</v>
      </c>
      <c r="K1" s="3" t="s">
        <v>252</v>
      </c>
      <c r="L1" s="3" t="s">
        <v>510</v>
      </c>
      <c r="M1" s="3" t="s">
        <v>251</v>
      </c>
      <c r="N1" s="3" t="s">
        <v>511</v>
      </c>
      <c r="O1" s="3" t="s">
        <v>512</v>
      </c>
      <c r="P1" s="3" t="s">
        <v>33</v>
      </c>
      <c r="Q1" s="3" t="s">
        <v>36</v>
      </c>
    </row>
    <row r="2" customFormat="false" ht="15" hidden="false" customHeight="false" outlineLevel="0" collapsed="false">
      <c r="A2" s="2" t="s">
        <v>513</v>
      </c>
      <c r="B2" s="2" t="s">
        <v>514</v>
      </c>
      <c r="C2" s="2" t="s">
        <v>515</v>
      </c>
      <c r="D2" s="2" t="s">
        <v>516</v>
      </c>
      <c r="E2" s="2" t="s">
        <v>257</v>
      </c>
      <c r="F2" s="2" t="n">
        <v>4110</v>
      </c>
      <c r="G2" s="2" t="n">
        <v>20</v>
      </c>
      <c r="H2" s="2" t="n">
        <v>-51.670178</v>
      </c>
      <c r="I2" s="2" t="n">
        <v>4.239</v>
      </c>
      <c r="J2" s="2" t="n">
        <v>4.247</v>
      </c>
      <c r="K2" s="2" t="n">
        <v>4.247</v>
      </c>
      <c r="L2" s="2" t="n">
        <v>0.1565</v>
      </c>
      <c r="M2" s="4" t="s">
        <v>43</v>
      </c>
      <c r="N2" s="2" t="n">
        <f aca="false">MAX(0.1,ROUNDUP(ROUND(I2,6)*10,0)/10)</f>
        <v>4.3</v>
      </c>
      <c r="O2" s="2" t="n">
        <f aca="false">MAX(0.1,ROUNDUP(ROUND(K2,6)*10,0)/10)</f>
        <v>4.3</v>
      </c>
      <c r="P2" s="2" t="str">
        <f aca="false">IF(N2&lt;&gt;O2,"yes","no")</f>
        <v>no</v>
      </c>
      <c r="Q2" s="2"/>
    </row>
    <row r="3" customFormat="false" ht="15" hidden="false" customHeight="false" outlineLevel="0" collapsed="false">
      <c r="A3" s="2" t="s">
        <v>517</v>
      </c>
      <c r="B3" s="2" t="s">
        <v>514</v>
      </c>
      <c r="C3" s="2" t="s">
        <v>515</v>
      </c>
      <c r="D3" s="2" t="s">
        <v>516</v>
      </c>
      <c r="E3" s="2" t="s">
        <v>257</v>
      </c>
      <c r="F3" s="2" t="n">
        <v>3790</v>
      </c>
      <c r="G3" s="2" t="n">
        <v>20</v>
      </c>
      <c r="H3" s="2" t="n">
        <v>-23.178189</v>
      </c>
      <c r="I3" s="2" t="n">
        <v>3.761</v>
      </c>
      <c r="J3" s="2" t="n">
        <v>3.762</v>
      </c>
      <c r="K3" s="2" t="n">
        <v>3.762</v>
      </c>
      <c r="L3" s="2" t="n">
        <v>0.1555</v>
      </c>
      <c r="M3" s="4" t="s">
        <v>43</v>
      </c>
      <c r="N3" s="2" t="n">
        <f aca="false">MAX(0.1,ROUNDUP(ROUND(I3,6)*10,0)/10)</f>
        <v>3.8</v>
      </c>
      <c r="O3" s="2" t="n">
        <f aca="false">MAX(0.1,ROUNDUP(ROUND(K3,6)*10,0)/10)</f>
        <v>3.8</v>
      </c>
      <c r="P3" s="2" t="str">
        <f aca="false">IF(N3&lt;&gt;O3,"yes","no")</f>
        <v>no</v>
      </c>
      <c r="Q3" s="2"/>
    </row>
    <row r="4" customFormat="false" ht="15" hidden="false" customHeight="false" outlineLevel="0" collapsed="false">
      <c r="A4" s="2" t="s">
        <v>518</v>
      </c>
      <c r="B4" s="2" t="s">
        <v>514</v>
      </c>
      <c r="C4" s="2" t="s">
        <v>515</v>
      </c>
      <c r="D4" s="2" t="s">
        <v>516</v>
      </c>
      <c r="E4" s="2" t="s">
        <v>257</v>
      </c>
      <c r="F4" s="2" t="n">
        <v>4290</v>
      </c>
      <c r="G4" s="2" t="n">
        <v>30</v>
      </c>
      <c r="H4" s="2" t="n">
        <v>-62.366897</v>
      </c>
      <c r="I4" s="2" t="n">
        <v>4.485</v>
      </c>
      <c r="J4" s="2" t="n">
        <v>4.503</v>
      </c>
      <c r="K4" s="2" t="n">
        <v>4.503</v>
      </c>
      <c r="L4" s="2" t="n">
        <v>0.1815</v>
      </c>
      <c r="M4" s="4" t="s">
        <v>43</v>
      </c>
      <c r="N4" s="2" t="n">
        <f aca="false">MAX(0.1,ROUNDUP(ROUND(I4,6)*10,0)/10)</f>
        <v>4.5</v>
      </c>
      <c r="O4" s="2" t="n">
        <f aca="false">MAX(0.1,ROUNDUP(ROUND(K4,6)*10,0)/10)</f>
        <v>4.6</v>
      </c>
      <c r="P4" s="2" t="str">
        <f aca="false">IF(N4&lt;&gt;O4,"yes","no")</f>
        <v>yes</v>
      </c>
      <c r="Q4" s="2"/>
    </row>
    <row r="5" customFormat="false" ht="15" hidden="false" customHeight="false" outlineLevel="0" collapsed="false">
      <c r="A5" s="2" t="s">
        <v>519</v>
      </c>
      <c r="B5" s="2" t="s">
        <v>514</v>
      </c>
      <c r="C5" s="2" t="s">
        <v>515</v>
      </c>
      <c r="D5" s="2" t="s">
        <v>516</v>
      </c>
      <c r="E5" s="2" t="s">
        <v>257</v>
      </c>
      <c r="F5" s="2" t="n">
        <v>5460</v>
      </c>
      <c r="G5" s="2" t="n">
        <v>20</v>
      </c>
      <c r="H5" s="2" t="n">
        <v>-89.37234</v>
      </c>
      <c r="I5" s="2" t="n">
        <v>5.932</v>
      </c>
      <c r="J5" s="2" t="n">
        <v>5.953</v>
      </c>
      <c r="K5" s="2" t="n">
        <v>5.953</v>
      </c>
      <c r="L5" s="2" t="n">
        <v>0.1645</v>
      </c>
      <c r="M5" s="4" t="s">
        <v>71</v>
      </c>
      <c r="N5" s="2" t="n">
        <f aca="false">MAX(0.1,ROUNDUP(ROUND(I5,6)*10,0)/10)</f>
        <v>6</v>
      </c>
      <c r="O5" s="2" t="n">
        <f aca="false">MAX(0.1,ROUNDUP(ROUND(K5,6)*10,0)/10)</f>
        <v>6</v>
      </c>
      <c r="P5" s="2" t="str">
        <f aca="false">IF(N5&lt;&gt;O5,"yes","no")</f>
        <v>no</v>
      </c>
      <c r="Q5" s="2"/>
    </row>
    <row r="6" customFormat="false" ht="15" hidden="false" customHeight="false" outlineLevel="0" collapsed="false">
      <c r="A6" s="2" t="s">
        <v>520</v>
      </c>
      <c r="B6" s="2" t="s">
        <v>521</v>
      </c>
      <c r="C6" s="2" t="s">
        <v>515</v>
      </c>
      <c r="D6" s="2" t="s">
        <v>516</v>
      </c>
      <c r="E6" s="2" t="s">
        <v>257</v>
      </c>
      <c r="F6" s="2" t="n">
        <v>5270</v>
      </c>
      <c r="G6" s="2" t="n">
        <v>25</v>
      </c>
      <c r="H6" s="2" t="n">
        <v>-12.247346</v>
      </c>
      <c r="I6" s="2" t="n">
        <v>5.638</v>
      </c>
      <c r="J6" s="2" t="n">
        <v>5.637</v>
      </c>
      <c r="K6" s="2" t="n">
        <v>5.637</v>
      </c>
      <c r="L6" s="2" t="n">
        <v>0.15</v>
      </c>
      <c r="M6" s="4" t="s">
        <v>71</v>
      </c>
      <c r="N6" s="2" t="n">
        <f aca="false">MAX(0.1,ROUNDUP(ROUND(I6,6)*10,0)/10)</f>
        <v>5.7</v>
      </c>
      <c r="O6" s="2" t="n">
        <f aca="false">MAX(0.1,ROUNDUP(ROUND(K6,6)*10,0)/10)</f>
        <v>5.7</v>
      </c>
      <c r="P6" s="2" t="str">
        <f aca="false">IF(N6&lt;&gt;O6,"yes","no")</f>
        <v>no</v>
      </c>
      <c r="Q6" s="2"/>
    </row>
    <row r="7" customFormat="false" ht="15" hidden="false" customHeight="false" outlineLevel="0" collapsed="false">
      <c r="A7" s="2" t="s">
        <v>522</v>
      </c>
      <c r="B7" s="2" t="s">
        <v>523</v>
      </c>
      <c r="C7" s="2" t="s">
        <v>515</v>
      </c>
      <c r="D7" s="2" t="s">
        <v>516</v>
      </c>
      <c r="E7" s="2" t="s">
        <v>257</v>
      </c>
      <c r="F7" s="2" t="n">
        <v>4535</v>
      </c>
      <c r="G7" s="2" t="n">
        <v>30</v>
      </c>
      <c r="H7" s="2" t="n">
        <v>-26.78501</v>
      </c>
      <c r="I7" s="2" t="n">
        <v>4.774</v>
      </c>
      <c r="J7" s="2" t="n">
        <v>4.76</v>
      </c>
      <c r="K7" s="2" t="n">
        <v>4.76</v>
      </c>
      <c r="L7" s="2" t="n">
        <v>0.169</v>
      </c>
      <c r="M7" s="4" t="s">
        <v>71</v>
      </c>
      <c r="N7" s="2" t="n">
        <f aca="false">MAX(0.1,ROUNDUP(ROUND(I7,6)*10,0)/10)</f>
        <v>4.8</v>
      </c>
      <c r="O7" s="2" t="n">
        <f aca="false">MAX(0.1,ROUNDUP(ROUND(K7,6)*10,0)/10)</f>
        <v>4.8</v>
      </c>
      <c r="P7" s="2" t="str">
        <f aca="false">IF(N7&lt;&gt;O7,"yes","no")</f>
        <v>no</v>
      </c>
      <c r="Q7" s="2"/>
    </row>
    <row r="8" customFormat="false" ht="15" hidden="false" customHeight="false" outlineLevel="0" collapsed="false">
      <c r="A8" s="2" t="s">
        <v>524</v>
      </c>
      <c r="B8" s="2" t="s">
        <v>523</v>
      </c>
      <c r="C8" s="2" t="s">
        <v>515</v>
      </c>
      <c r="D8" s="2" t="s">
        <v>516</v>
      </c>
      <c r="E8" s="2" t="s">
        <v>257</v>
      </c>
      <c r="F8" s="2" t="n">
        <v>4630</v>
      </c>
      <c r="G8" s="2" t="n">
        <v>25</v>
      </c>
      <c r="H8" s="2" t="n">
        <v>-22.80594</v>
      </c>
      <c r="I8" s="2" t="n">
        <v>4.876</v>
      </c>
      <c r="J8" s="2" t="n">
        <v>4.879</v>
      </c>
      <c r="K8" s="2" t="n">
        <v>4.879</v>
      </c>
      <c r="L8" s="2" t="n">
        <v>0.164</v>
      </c>
      <c r="M8" s="4" t="s">
        <v>71</v>
      </c>
      <c r="N8" s="2" t="n">
        <f aca="false">MAX(0.1,ROUNDUP(ROUND(I8,6)*10,0)/10)</f>
        <v>4.9</v>
      </c>
      <c r="O8" s="2" t="n">
        <f aca="false">MAX(0.1,ROUNDUP(ROUND(K8,6)*10,0)/10)</f>
        <v>4.9</v>
      </c>
      <c r="P8" s="2" t="str">
        <f aca="false">IF(N8&lt;&gt;O8,"yes","no")</f>
        <v>no</v>
      </c>
      <c r="Q8" s="2"/>
    </row>
    <row r="9" customFormat="false" ht="15" hidden="false" customHeight="false" outlineLevel="0" collapsed="false">
      <c r="A9" s="2" t="s">
        <v>525</v>
      </c>
      <c r="B9" s="2" t="s">
        <v>523</v>
      </c>
      <c r="C9" s="2" t="s">
        <v>515</v>
      </c>
      <c r="D9" s="2" t="s">
        <v>516</v>
      </c>
      <c r="E9" s="2" t="s">
        <v>257</v>
      </c>
      <c r="F9" s="2" t="n">
        <v>5115</v>
      </c>
      <c r="G9" s="2" t="n">
        <v>25</v>
      </c>
      <c r="H9" s="2" t="n">
        <v>-13.213424</v>
      </c>
      <c r="I9" s="2" t="n">
        <v>5.501</v>
      </c>
      <c r="J9" s="2" t="n">
        <v>5.469</v>
      </c>
      <c r="K9" s="2" t="n">
        <v>5.469</v>
      </c>
      <c r="L9" s="2" t="n">
        <v>0.135</v>
      </c>
      <c r="M9" s="4" t="s">
        <v>71</v>
      </c>
      <c r="N9" s="2" t="n">
        <f aca="false">MAX(0.1,ROUNDUP(ROUND(I9,6)*10,0)/10)</f>
        <v>5.6</v>
      </c>
      <c r="O9" s="2" t="n">
        <f aca="false">MAX(0.1,ROUNDUP(ROUND(K9,6)*10,0)/10)</f>
        <v>5.5</v>
      </c>
      <c r="P9" s="2" t="str">
        <f aca="false">IF(N9&lt;&gt;O9,"yes","no")</f>
        <v>yes</v>
      </c>
      <c r="Q9" s="2"/>
    </row>
    <row r="10" customFormat="false" ht="15" hidden="false" customHeight="false" outlineLevel="0" collapsed="false">
      <c r="A10" s="2" t="s">
        <v>526</v>
      </c>
      <c r="B10" s="2" t="s">
        <v>527</v>
      </c>
      <c r="C10" s="2" t="s">
        <v>515</v>
      </c>
      <c r="D10" s="2" t="s">
        <v>516</v>
      </c>
      <c r="E10" s="2" t="s">
        <v>257</v>
      </c>
      <c r="F10" s="2" t="n">
        <v>1510</v>
      </c>
      <c r="G10" s="2" t="n">
        <v>25</v>
      </c>
      <c r="H10" s="2" t="n">
        <v>-37.183252</v>
      </c>
      <c r="I10" s="2" t="n">
        <v>1.107</v>
      </c>
      <c r="J10" s="2" t="n">
        <v>0.949</v>
      </c>
      <c r="K10" s="2" t="n">
        <v>0.949</v>
      </c>
      <c r="L10" s="2" t="n">
        <v>0.1395</v>
      </c>
      <c r="M10" s="4" t="s">
        <v>71</v>
      </c>
      <c r="N10" s="2" t="n">
        <f aca="false">MAX(0.1,ROUNDUP(ROUND(I10,6)*10,0)/10)</f>
        <v>1.2</v>
      </c>
      <c r="O10" s="2" t="n">
        <f aca="false">MAX(0.1,ROUNDUP(ROUND(K10,6)*10,0)/10)</f>
        <v>1</v>
      </c>
      <c r="P10" s="2" t="str">
        <f aca="false">IF(N10&lt;&gt;O10,"yes","no")</f>
        <v>yes</v>
      </c>
      <c r="Q10" s="2"/>
    </row>
    <row r="11" customFormat="false" ht="15" hidden="false" customHeight="false" outlineLevel="0" collapsed="false">
      <c r="A11" s="2" t="s">
        <v>528</v>
      </c>
      <c r="B11" s="2" t="s">
        <v>527</v>
      </c>
      <c r="C11" s="2" t="s">
        <v>515</v>
      </c>
      <c r="D11" s="2" t="s">
        <v>516</v>
      </c>
      <c r="E11" s="2" t="s">
        <v>257</v>
      </c>
      <c r="F11" s="2" t="n">
        <v>1270</v>
      </c>
      <c r="G11" s="2" t="n">
        <v>65</v>
      </c>
      <c r="H11" s="2" t="n">
        <v>-41.320364</v>
      </c>
      <c r="I11" s="2" t="n">
        <v>0.851</v>
      </c>
      <c r="J11" s="2" t="n">
        <v>0.663</v>
      </c>
      <c r="K11" s="2" t="n">
        <v>0.663</v>
      </c>
      <c r="L11" s="2" t="n">
        <v>0.1745</v>
      </c>
      <c r="M11" s="4" t="s">
        <v>71</v>
      </c>
      <c r="N11" s="2" t="n">
        <f aca="false">MAX(0.1,ROUNDUP(ROUND(I11,6)*10,0)/10)</f>
        <v>0.9</v>
      </c>
      <c r="O11" s="2" t="n">
        <f aca="false">MAX(0.1,ROUNDUP(ROUND(K11,6)*10,0)/10)</f>
        <v>0.7</v>
      </c>
      <c r="P11" s="2" t="str">
        <f aca="false">IF(N11&lt;&gt;O11,"yes","no")</f>
        <v>yes</v>
      </c>
      <c r="Q11" s="2"/>
    </row>
    <row r="12" customFormat="false" ht="15" hidden="false" customHeight="false" outlineLevel="0" collapsed="false">
      <c r="A12" s="2" t="s">
        <v>529</v>
      </c>
      <c r="B12" s="2" t="s">
        <v>527</v>
      </c>
      <c r="C12" s="2" t="s">
        <v>515</v>
      </c>
      <c r="D12" s="2" t="s">
        <v>516</v>
      </c>
      <c r="E12" s="2" t="s">
        <v>257</v>
      </c>
      <c r="F12" s="2" t="n">
        <v>5090</v>
      </c>
      <c r="G12" s="2" t="n">
        <v>25</v>
      </c>
      <c r="H12" s="2" t="n">
        <v>-13.315073</v>
      </c>
      <c r="I12" s="2" t="n">
        <v>5.473</v>
      </c>
      <c r="J12" s="2" t="n">
        <v>5.294</v>
      </c>
      <c r="K12" s="2" t="n">
        <v>5.294</v>
      </c>
      <c r="L12" s="2" t="n">
        <v>0.137</v>
      </c>
      <c r="M12" s="4" t="s">
        <v>71</v>
      </c>
      <c r="N12" s="2" t="n">
        <f aca="false">MAX(0.1,ROUNDUP(ROUND(I12,6)*10,0)/10)</f>
        <v>5.5</v>
      </c>
      <c r="O12" s="2" t="n">
        <f aca="false">MAX(0.1,ROUNDUP(ROUND(K12,6)*10,0)/10)</f>
        <v>5.3</v>
      </c>
      <c r="P12" s="2" t="str">
        <f aca="false">IF(N12&lt;&gt;O12,"yes","no")</f>
        <v>yes</v>
      </c>
      <c r="Q12" s="2"/>
    </row>
    <row r="13" customFormat="false" ht="15" hidden="false" customHeight="false" outlineLevel="0" collapsed="false">
      <c r="A13" s="2" t="s">
        <v>530</v>
      </c>
      <c r="B13" s="2" t="s">
        <v>527</v>
      </c>
      <c r="C13" s="2" t="s">
        <v>515</v>
      </c>
      <c r="D13" s="2" t="s">
        <v>516</v>
      </c>
      <c r="E13" s="2" t="s">
        <v>257</v>
      </c>
      <c r="F13" s="2" t="n">
        <v>4362</v>
      </c>
      <c r="G13" s="2" t="n">
        <v>119</v>
      </c>
      <c r="H13" s="2" t="n">
        <v>-32.865553</v>
      </c>
      <c r="I13" s="2" t="n">
        <v>4.555</v>
      </c>
      <c r="J13" s="2" t="n">
        <v>4.198</v>
      </c>
      <c r="K13" s="2" t="n">
        <v>4.198</v>
      </c>
      <c r="L13" s="2" t="n">
        <v>0.326</v>
      </c>
      <c r="M13" s="4" t="s">
        <v>71</v>
      </c>
      <c r="N13" s="2" t="n">
        <f aca="false">MAX(0.1,ROUNDUP(ROUND(I13,6)*10,0)/10)</f>
        <v>4.6</v>
      </c>
      <c r="O13" s="2" t="n">
        <f aca="false">MAX(0.1,ROUNDUP(ROUND(K13,6)*10,0)/10)</f>
        <v>4.2</v>
      </c>
      <c r="P13" s="2" t="str">
        <f aca="false">IF(N13&lt;&gt;O13,"yes","no")</f>
        <v>yes</v>
      </c>
      <c r="Q13" s="2"/>
    </row>
    <row r="14" customFormat="false" ht="15" hidden="false" customHeight="false" outlineLevel="0" collapsed="false">
      <c r="A14" s="2" t="s">
        <v>531</v>
      </c>
      <c r="B14" s="2" t="s">
        <v>532</v>
      </c>
      <c r="C14" s="2" t="s">
        <v>515</v>
      </c>
      <c r="D14" s="2" t="s">
        <v>516</v>
      </c>
      <c r="E14" s="2" t="s">
        <v>257</v>
      </c>
      <c r="F14" s="2" t="n">
        <v>1415</v>
      </c>
      <c r="G14" s="2" t="n">
        <v>25</v>
      </c>
      <c r="H14" s="2" t="n">
        <v>-38.449488</v>
      </c>
      <c r="I14" s="2" t="n">
        <v>0.999</v>
      </c>
      <c r="J14" s="2" t="n">
        <v>0.992</v>
      </c>
      <c r="K14" s="2" t="n">
        <v>0.992</v>
      </c>
      <c r="L14" s="2" t="n">
        <v>0.14</v>
      </c>
      <c r="M14" s="4" t="s">
        <v>71</v>
      </c>
      <c r="N14" s="2" t="n">
        <f aca="false">MAX(0.1,ROUNDUP(ROUND(I14,6)*10,0)/10)</f>
        <v>1</v>
      </c>
      <c r="O14" s="2" t="n">
        <f aca="false">MAX(0.1,ROUNDUP(ROUND(K14,6)*10,0)/10)</f>
        <v>1</v>
      </c>
      <c r="P14" s="2" t="str">
        <f aca="false">IF(N14&lt;&gt;O14,"yes","no")</f>
        <v>no</v>
      </c>
      <c r="Q14" s="2"/>
    </row>
    <row r="15" customFormat="false" ht="15" hidden="false" customHeight="false" outlineLevel="0" collapsed="false">
      <c r="A15" s="2" t="s">
        <v>533</v>
      </c>
      <c r="B15" s="2" t="s">
        <v>532</v>
      </c>
      <c r="C15" s="2" t="s">
        <v>515</v>
      </c>
      <c r="D15" s="2" t="s">
        <v>516</v>
      </c>
      <c r="E15" s="2" t="s">
        <v>257</v>
      </c>
      <c r="F15" s="2" t="n">
        <v>5320</v>
      </c>
      <c r="G15" s="2" t="n">
        <v>25</v>
      </c>
      <c r="H15" s="2" t="n">
        <v>-11.618678</v>
      </c>
      <c r="I15" s="2" t="n">
        <v>5.687</v>
      </c>
      <c r="J15" s="2" t="n">
        <v>5.69</v>
      </c>
      <c r="K15" s="2" t="n">
        <v>5.69</v>
      </c>
      <c r="L15" s="2" t="n">
        <v>0.1575</v>
      </c>
      <c r="M15" s="4" t="s">
        <v>71</v>
      </c>
      <c r="N15" s="2" t="n">
        <f aca="false">MAX(0.1,ROUNDUP(ROUND(I15,6)*10,0)/10)</f>
        <v>5.7</v>
      </c>
      <c r="O15" s="2" t="n">
        <f aca="false">MAX(0.1,ROUNDUP(ROUND(K15,6)*10,0)/10)</f>
        <v>5.7</v>
      </c>
      <c r="P15" s="2" t="str">
        <f aca="false">IF(N15&lt;&gt;O15,"yes","no")</f>
        <v>no</v>
      </c>
      <c r="Q15" s="2"/>
    </row>
    <row r="16" customFormat="false" ht="15" hidden="false" customHeight="false" outlineLevel="0" collapsed="false">
      <c r="A16" s="2" t="s">
        <v>534</v>
      </c>
      <c r="B16" s="2" t="s">
        <v>535</v>
      </c>
      <c r="C16" s="2" t="s">
        <v>515</v>
      </c>
      <c r="D16" s="2" t="s">
        <v>516</v>
      </c>
      <c r="E16" s="2" t="s">
        <v>257</v>
      </c>
      <c r="F16" s="2" t="n">
        <v>5505</v>
      </c>
      <c r="G16" s="2" t="n">
        <v>30</v>
      </c>
      <c r="H16" s="2" t="n">
        <v>-7.406643</v>
      </c>
      <c r="I16" s="2" t="n">
        <v>5.897</v>
      </c>
      <c r="J16" s="2" t="n">
        <v>5.888</v>
      </c>
      <c r="K16" s="2" t="n">
        <v>5.888</v>
      </c>
      <c r="L16" s="2" t="n">
        <v>0.1615</v>
      </c>
      <c r="M16" s="4" t="s">
        <v>71</v>
      </c>
      <c r="N16" s="2" t="n">
        <f aca="false">MAX(0.1,ROUNDUP(ROUND(I16,6)*10,0)/10)</f>
        <v>5.9</v>
      </c>
      <c r="O16" s="2" t="n">
        <f aca="false">MAX(0.1,ROUNDUP(ROUND(K16,6)*10,0)/10)</f>
        <v>5.9</v>
      </c>
      <c r="P16" s="2" t="str">
        <f aca="false">IF(N16&lt;&gt;O16,"yes","no")</f>
        <v>no</v>
      </c>
      <c r="Q16" s="2"/>
    </row>
    <row r="17" customFormat="false" ht="15" hidden="false" customHeight="false" outlineLevel="0" collapsed="false">
      <c r="A17" s="2" t="s">
        <v>536</v>
      </c>
      <c r="B17" s="2" t="s">
        <v>537</v>
      </c>
      <c r="C17" s="2" t="s">
        <v>515</v>
      </c>
      <c r="D17" s="2" t="s">
        <v>516</v>
      </c>
      <c r="E17" s="2" t="s">
        <v>257</v>
      </c>
      <c r="F17" s="2" t="n">
        <v>5465</v>
      </c>
      <c r="G17" s="2" t="n">
        <v>25</v>
      </c>
      <c r="H17" s="2" t="n">
        <v>-8.511542</v>
      </c>
      <c r="I17" s="2" t="n">
        <v>5.852</v>
      </c>
      <c r="J17" s="2" t="n">
        <v>5.841</v>
      </c>
      <c r="K17" s="2" t="n">
        <v>5.841</v>
      </c>
      <c r="L17" s="2" t="n">
        <v>0.152</v>
      </c>
      <c r="M17" s="4" t="s">
        <v>71</v>
      </c>
      <c r="N17" s="2" t="n">
        <f aca="false">MAX(0.1,ROUNDUP(ROUND(I17,6)*10,0)/10)</f>
        <v>5.9</v>
      </c>
      <c r="O17" s="2" t="n">
        <f aca="false">MAX(0.1,ROUNDUP(ROUND(K17,6)*10,0)/10)</f>
        <v>5.9</v>
      </c>
      <c r="P17" s="2" t="str">
        <f aca="false">IF(N17&lt;&gt;O17,"yes","no")</f>
        <v>no</v>
      </c>
      <c r="Q17" s="2"/>
    </row>
    <row r="18" customFormat="false" ht="15" hidden="false" customHeight="false" outlineLevel="0" collapsed="false">
      <c r="A18" s="2" t="s">
        <v>538</v>
      </c>
      <c r="B18" s="2" t="s">
        <v>537</v>
      </c>
      <c r="C18" s="2" t="s">
        <v>515</v>
      </c>
      <c r="D18" s="2" t="s">
        <v>516</v>
      </c>
      <c r="E18" s="2" t="s">
        <v>257</v>
      </c>
      <c r="F18" s="2" t="n">
        <v>5600</v>
      </c>
      <c r="G18" s="2" t="n">
        <v>30</v>
      </c>
      <c r="H18" s="2" t="n">
        <v>-4.539996</v>
      </c>
      <c r="I18" s="2" t="n">
        <v>5.996</v>
      </c>
      <c r="J18" s="2" t="n">
        <v>5.998</v>
      </c>
      <c r="K18" s="2" t="n">
        <v>5.998</v>
      </c>
      <c r="L18" s="2" t="n">
        <v>0.172</v>
      </c>
      <c r="M18" s="4" t="s">
        <v>71</v>
      </c>
      <c r="N18" s="2" t="n">
        <f aca="false">MAX(0.1,ROUNDUP(ROUND(I18,6)*10,0)/10)</f>
        <v>6</v>
      </c>
      <c r="O18" s="2" t="n">
        <f aca="false">MAX(0.1,ROUNDUP(ROUND(K18,6)*10,0)/10)</f>
        <v>6</v>
      </c>
      <c r="P18" s="2" t="str">
        <f aca="false">IF(N18&lt;&gt;O18,"yes","no")</f>
        <v>no</v>
      </c>
      <c r="Q18" s="2"/>
    </row>
    <row r="19" customFormat="false" ht="15" hidden="false" customHeight="false" outlineLevel="0" collapsed="false">
      <c r="A19" s="2" t="s">
        <v>539</v>
      </c>
      <c r="B19" s="2" t="s">
        <v>537</v>
      </c>
      <c r="C19" s="2" t="s">
        <v>515</v>
      </c>
      <c r="D19" s="2" t="s">
        <v>516</v>
      </c>
      <c r="E19" s="2" t="s">
        <v>257</v>
      </c>
      <c r="F19" s="2" t="n">
        <v>5535</v>
      </c>
      <c r="G19" s="2" t="n">
        <v>25</v>
      </c>
      <c r="H19" s="2" t="n">
        <v>-6.531636</v>
      </c>
      <c r="I19" s="2" t="n">
        <v>5.927</v>
      </c>
      <c r="J19" s="2" t="n">
        <v>5.924</v>
      </c>
      <c r="K19" s="2" t="n">
        <v>5.924</v>
      </c>
      <c r="L19" s="2" t="n">
        <v>0.166</v>
      </c>
      <c r="M19" s="4" t="s">
        <v>71</v>
      </c>
      <c r="N19" s="2" t="n">
        <f aca="false">MAX(0.1,ROUNDUP(ROUND(I19,6)*10,0)/10)</f>
        <v>6</v>
      </c>
      <c r="O19" s="2" t="n">
        <f aca="false">MAX(0.1,ROUNDUP(ROUND(K19,6)*10,0)/10)</f>
        <v>6</v>
      </c>
      <c r="P19" s="2" t="str">
        <f aca="false">IF(N19&lt;&gt;O19,"yes","no")</f>
        <v>no</v>
      </c>
      <c r="Q19" s="2"/>
    </row>
    <row r="20" customFormat="false" ht="15" hidden="false" customHeight="false" outlineLevel="0" collapsed="false">
      <c r="A20" s="2" t="s">
        <v>540</v>
      </c>
      <c r="B20" s="2" t="s">
        <v>541</v>
      </c>
      <c r="C20" s="2" t="s">
        <v>515</v>
      </c>
      <c r="D20" s="2" t="s">
        <v>516</v>
      </c>
      <c r="E20" s="2" t="s">
        <v>257</v>
      </c>
      <c r="F20" s="2" t="n">
        <v>5220</v>
      </c>
      <c r="G20" s="2" t="n">
        <v>30</v>
      </c>
      <c r="H20" s="2" t="n">
        <v>-12.676978</v>
      </c>
      <c r="I20" s="2" t="n">
        <v>5.596</v>
      </c>
      <c r="J20" s="2" t="n">
        <v>5.581</v>
      </c>
      <c r="K20" s="2" t="n">
        <v>5.581</v>
      </c>
      <c r="L20" s="2" t="n">
        <v>0.1525</v>
      </c>
      <c r="M20" s="4" t="s">
        <v>71</v>
      </c>
      <c r="N20" s="2" t="n">
        <f aca="false">MAX(0.1,ROUNDUP(ROUND(I20,6)*10,0)/10)</f>
        <v>5.6</v>
      </c>
      <c r="O20" s="2" t="n">
        <f aca="false">MAX(0.1,ROUNDUP(ROUND(K20,6)*10,0)/10)</f>
        <v>5.6</v>
      </c>
      <c r="P20" s="2" t="str">
        <f aca="false">IF(N20&lt;&gt;O20,"yes","no")</f>
        <v>no</v>
      </c>
      <c r="Q20" s="2"/>
    </row>
    <row r="21" customFormat="false" ht="15" hidden="false" customHeight="false" outlineLevel="0" collapsed="false">
      <c r="A21" s="2" t="s">
        <v>542</v>
      </c>
      <c r="B21" s="2" t="s">
        <v>543</v>
      </c>
      <c r="C21" s="2" t="s">
        <v>515</v>
      </c>
      <c r="D21" s="2" t="s">
        <v>516</v>
      </c>
      <c r="E21" s="2" t="s">
        <v>257</v>
      </c>
      <c r="F21" s="2" t="n">
        <v>480</v>
      </c>
      <c r="G21" s="2" t="n">
        <v>25</v>
      </c>
      <c r="H21" s="2" t="n">
        <v>-59.624419</v>
      </c>
      <c r="I21" s="2" t="n">
        <v>0.174</v>
      </c>
      <c r="J21" s="2" t="n">
        <v>0.146</v>
      </c>
      <c r="K21" s="2" t="n">
        <v>0.146</v>
      </c>
      <c r="L21" s="2" t="n">
        <v>0.1345</v>
      </c>
      <c r="M21" s="4" t="s">
        <v>71</v>
      </c>
      <c r="N21" s="2" t="n">
        <f aca="false">MAX(0.1,ROUNDUP(ROUND(I21,6)*10,0)/10)</f>
        <v>0.2</v>
      </c>
      <c r="O21" s="2" t="n">
        <f aca="false">MAX(0.1,ROUNDUP(ROUND(K21,6)*10,0)/10)</f>
        <v>0.2</v>
      </c>
      <c r="P21" s="2" t="str">
        <f aca="false">IF(N21&lt;&gt;O21,"yes","no")</f>
        <v>no</v>
      </c>
      <c r="Q21" s="2"/>
    </row>
    <row r="22" customFormat="false" ht="15" hidden="false" customHeight="false" outlineLevel="0" collapsed="false">
      <c r="A22" s="2" t="s">
        <v>544</v>
      </c>
      <c r="B22" s="2" t="s">
        <v>543</v>
      </c>
      <c r="C22" s="2" t="s">
        <v>515</v>
      </c>
      <c r="D22" s="2" t="s">
        <v>516</v>
      </c>
      <c r="E22" s="2" t="s">
        <v>257</v>
      </c>
      <c r="F22" s="2" t="n">
        <v>1520</v>
      </c>
      <c r="G22" s="2" t="n">
        <v>30</v>
      </c>
      <c r="H22" s="2" t="n">
        <v>-37.094952</v>
      </c>
      <c r="I22" s="2" t="n">
        <v>1.117</v>
      </c>
      <c r="J22" s="2" t="n">
        <v>1.102</v>
      </c>
      <c r="K22" s="2" t="n">
        <v>1.102</v>
      </c>
      <c r="L22" s="2" t="n">
        <v>0.142</v>
      </c>
      <c r="M22" s="4" t="s">
        <v>71</v>
      </c>
      <c r="N22" s="2" t="n">
        <f aca="false">MAX(0.1,ROUNDUP(ROUND(I22,6)*10,0)/10)</f>
        <v>1.2</v>
      </c>
      <c r="O22" s="2" t="n">
        <f aca="false">MAX(0.1,ROUNDUP(ROUND(K22,6)*10,0)/10)</f>
        <v>1.2</v>
      </c>
      <c r="P22" s="2" t="str">
        <f aca="false">IF(N22&lt;&gt;O22,"yes","no")</f>
        <v>no</v>
      </c>
      <c r="Q22" s="2"/>
    </row>
    <row r="23" customFormat="false" ht="15" hidden="false" customHeight="false" outlineLevel="0" collapsed="false">
      <c r="A23" s="2" t="s">
        <v>545</v>
      </c>
      <c r="B23" s="2" t="s">
        <v>546</v>
      </c>
      <c r="C23" s="2" t="s">
        <v>515</v>
      </c>
      <c r="D23" s="2" t="s">
        <v>516</v>
      </c>
      <c r="E23" s="2" t="s">
        <v>257</v>
      </c>
      <c r="F23" s="2" t="n">
        <v>3165</v>
      </c>
      <c r="G23" s="2" t="n">
        <v>25</v>
      </c>
      <c r="H23" s="2" t="n">
        <v>-9.388289</v>
      </c>
      <c r="I23" s="2" t="n">
        <v>2.967</v>
      </c>
      <c r="J23" s="2" t="n">
        <v>2.978</v>
      </c>
      <c r="K23" s="2" t="n">
        <v>2.978</v>
      </c>
      <c r="L23" s="2" t="n">
        <v>0.1585</v>
      </c>
      <c r="M23" s="4" t="s">
        <v>71</v>
      </c>
      <c r="N23" s="2" t="n">
        <f aca="false">MAX(0.1,ROUNDUP(ROUND(I23,6)*10,0)/10)</f>
        <v>3</v>
      </c>
      <c r="O23" s="2" t="n">
        <f aca="false">MAX(0.1,ROUNDUP(ROUND(K23,6)*10,0)/10)</f>
        <v>3</v>
      </c>
      <c r="P23" s="2" t="str">
        <f aca="false">IF(N23&lt;&gt;O23,"yes","no")</f>
        <v>no</v>
      </c>
      <c r="Q23" s="2"/>
    </row>
    <row r="24" customFormat="false" ht="15" hidden="false" customHeight="false" outlineLevel="0" collapsed="false">
      <c r="A24" s="2" t="s">
        <v>547</v>
      </c>
      <c r="B24" s="2" t="s">
        <v>548</v>
      </c>
      <c r="C24" s="2" t="s">
        <v>515</v>
      </c>
      <c r="D24" s="2" t="s">
        <v>516</v>
      </c>
      <c r="E24" s="2" t="s">
        <v>257</v>
      </c>
      <c r="F24" s="2" t="n">
        <v>2465</v>
      </c>
      <c r="G24" s="2" t="n">
        <v>20</v>
      </c>
      <c r="H24" s="2" t="n">
        <v>-43.438677</v>
      </c>
      <c r="I24" s="2" t="n">
        <v>2.182</v>
      </c>
      <c r="J24" s="2" t="n">
        <v>2.192</v>
      </c>
      <c r="K24" s="2" t="n">
        <v>2.192</v>
      </c>
      <c r="L24" s="2" t="n">
        <v>0.142</v>
      </c>
      <c r="M24" s="4" t="s">
        <v>71</v>
      </c>
      <c r="N24" s="2" t="n">
        <f aca="false">MAX(0.1,ROUNDUP(ROUND(I24,6)*10,0)/10)</f>
        <v>2.2</v>
      </c>
      <c r="O24" s="2" t="n">
        <f aca="false">MAX(0.1,ROUNDUP(ROUND(K24,6)*10,0)/10)</f>
        <v>2.2</v>
      </c>
      <c r="P24" s="2" t="str">
        <f aca="false">IF(N24&lt;&gt;O24,"yes","no")</f>
        <v>no</v>
      </c>
      <c r="Q24" s="2"/>
    </row>
    <row r="25" customFormat="false" ht="15" hidden="false" customHeight="false" outlineLevel="0" collapsed="false">
      <c r="A25" s="2" t="s">
        <v>549</v>
      </c>
      <c r="B25" s="2" t="s">
        <v>548</v>
      </c>
      <c r="C25" s="2" t="s">
        <v>515</v>
      </c>
      <c r="D25" s="2" t="s">
        <v>516</v>
      </c>
      <c r="E25" s="2" t="s">
        <v>257</v>
      </c>
      <c r="F25" s="2" t="n">
        <v>5150</v>
      </c>
      <c r="G25" s="2" t="n">
        <v>25</v>
      </c>
      <c r="H25" s="2" t="n">
        <v>-13.06584</v>
      </c>
      <c r="I25" s="2" t="n">
        <v>5.526</v>
      </c>
      <c r="J25" s="2" t="n">
        <v>5.505</v>
      </c>
      <c r="K25" s="2" t="n">
        <v>5.505</v>
      </c>
      <c r="L25" s="2" t="n">
        <v>0.145</v>
      </c>
      <c r="M25" s="4" t="s">
        <v>71</v>
      </c>
      <c r="N25" s="2" t="n">
        <f aca="false">MAX(0.1,ROUNDUP(ROUND(I25,6)*10,0)/10)</f>
        <v>5.6</v>
      </c>
      <c r="O25" s="2" t="n">
        <f aca="false">MAX(0.1,ROUNDUP(ROUND(K25,6)*10,0)/10)</f>
        <v>5.6</v>
      </c>
      <c r="P25" s="2" t="str">
        <f aca="false">IF(N25&lt;&gt;O25,"yes","no")</f>
        <v>no</v>
      </c>
      <c r="Q25" s="2"/>
    </row>
    <row r="26" customFormat="false" ht="15" hidden="false" customHeight="false" outlineLevel="0" collapsed="false">
      <c r="A26" s="2" t="s">
        <v>550</v>
      </c>
      <c r="B26" s="2" t="s">
        <v>551</v>
      </c>
      <c r="C26" s="2" t="s">
        <v>515</v>
      </c>
      <c r="D26" s="2" t="s">
        <v>552</v>
      </c>
      <c r="E26" s="2" t="s">
        <v>257</v>
      </c>
      <c r="F26" s="2"/>
      <c r="G26" s="2"/>
      <c r="H26" s="2"/>
      <c r="I26" s="2" t="n">
        <v>5.804</v>
      </c>
      <c r="J26" s="2" t="n">
        <v>5.804</v>
      </c>
      <c r="K26" s="2" t="n">
        <v>5.804</v>
      </c>
      <c r="L26" s="2"/>
      <c r="M26" s="4" t="s">
        <v>43</v>
      </c>
      <c r="N26" s="2" t="n">
        <f aca="false">MAX(0.1,ROUNDUP(ROUND(I26,6)*10,0)/10)</f>
        <v>5.9</v>
      </c>
      <c r="O26" s="2" t="n">
        <f aca="false">MAX(0.1,ROUNDUP(ROUND(K26,6)*10,0)/10)</f>
        <v>5.9</v>
      </c>
      <c r="P26" s="2" t="str">
        <f aca="false">IF(N26&lt;&gt;O26,"yes","no")</f>
        <v>no</v>
      </c>
      <c r="Q26" s="2"/>
    </row>
    <row r="27" customFormat="false" ht="15" hidden="false" customHeight="false" outlineLevel="0" collapsed="false">
      <c r="A27" s="2" t="s">
        <v>553</v>
      </c>
      <c r="B27" s="2" t="s">
        <v>551</v>
      </c>
      <c r="C27" s="2" t="s">
        <v>515</v>
      </c>
      <c r="D27" s="2" t="s">
        <v>552</v>
      </c>
      <c r="E27" s="2" t="s">
        <v>257</v>
      </c>
      <c r="F27" s="2"/>
      <c r="G27" s="2"/>
      <c r="H27" s="2"/>
      <c r="I27" s="2" t="n">
        <v>5.869</v>
      </c>
      <c r="J27" s="2" t="n">
        <v>5.869</v>
      </c>
      <c r="K27" s="2" t="n">
        <v>5.869</v>
      </c>
      <c r="L27" s="2"/>
      <c r="M27" s="4" t="s">
        <v>43</v>
      </c>
      <c r="N27" s="2" t="n">
        <f aca="false">MAX(0.1,ROUNDUP(ROUND(I27,6)*10,0)/10)</f>
        <v>5.9</v>
      </c>
      <c r="O27" s="2" t="n">
        <f aca="false">MAX(0.1,ROUNDUP(ROUND(K27,6)*10,0)/10)</f>
        <v>5.9</v>
      </c>
      <c r="P27" s="2" t="str">
        <f aca="false">IF(N27&lt;&gt;O27,"yes","no")</f>
        <v>no</v>
      </c>
      <c r="Q27" s="2"/>
    </row>
    <row r="28" customFormat="false" ht="15" hidden="false" customHeight="false" outlineLevel="0" collapsed="false">
      <c r="A28" s="2" t="s">
        <v>554</v>
      </c>
      <c r="B28" s="2" t="s">
        <v>551</v>
      </c>
      <c r="C28" s="2" t="s">
        <v>515</v>
      </c>
      <c r="D28" s="2" t="s">
        <v>552</v>
      </c>
      <c r="E28" s="2" t="s">
        <v>257</v>
      </c>
      <c r="F28" s="2"/>
      <c r="G28" s="2"/>
      <c r="H28" s="2"/>
      <c r="I28" s="2" t="n">
        <v>5.976</v>
      </c>
      <c r="J28" s="2" t="n">
        <v>5.976</v>
      </c>
      <c r="K28" s="2" t="n">
        <v>5.976</v>
      </c>
      <c r="L28" s="2"/>
      <c r="M28" s="4" t="s">
        <v>43</v>
      </c>
      <c r="N28" s="2" t="n">
        <f aca="false">MAX(0.1,ROUNDUP(ROUND(I28,6)*10,0)/10)</f>
        <v>6</v>
      </c>
      <c r="O28" s="2" t="n">
        <f aca="false">MAX(0.1,ROUNDUP(ROUND(K28,6)*10,0)/10)</f>
        <v>6</v>
      </c>
      <c r="P28" s="2" t="str">
        <f aca="false">IF(N28&lt;&gt;O28,"yes","no")</f>
        <v>no</v>
      </c>
      <c r="Q28" s="2"/>
    </row>
    <row r="29" customFormat="false" ht="15" hidden="false" customHeight="false" outlineLevel="0" collapsed="false">
      <c r="A29" s="2" t="s">
        <v>555</v>
      </c>
      <c r="B29" s="2" t="s">
        <v>556</v>
      </c>
      <c r="C29" s="2" t="s">
        <v>515</v>
      </c>
      <c r="D29" s="2" t="s">
        <v>552</v>
      </c>
      <c r="E29" s="2" t="s">
        <v>257</v>
      </c>
      <c r="F29" s="2"/>
      <c r="G29" s="2"/>
      <c r="H29" s="2"/>
      <c r="I29" s="2" t="n">
        <v>5.526</v>
      </c>
      <c r="J29" s="2" t="n">
        <v>5.526</v>
      </c>
      <c r="K29" s="2" t="n">
        <v>5.526</v>
      </c>
      <c r="L29" s="2"/>
      <c r="M29" s="4" t="s">
        <v>43</v>
      </c>
      <c r="N29" s="2" t="n">
        <f aca="false">MAX(0.1,ROUNDUP(ROUND(I29,6)*10,0)/10)</f>
        <v>5.6</v>
      </c>
      <c r="O29" s="2" t="n">
        <f aca="false">MAX(0.1,ROUNDUP(ROUND(K29,6)*10,0)/10)</f>
        <v>5.6</v>
      </c>
      <c r="P29" s="2" t="str">
        <f aca="false">IF(N29&lt;&gt;O29,"yes","no")</f>
        <v>no</v>
      </c>
      <c r="Q29" s="2"/>
    </row>
    <row r="30" customFormat="false" ht="15" hidden="false" customHeight="false" outlineLevel="0" collapsed="false">
      <c r="A30" s="2" t="s">
        <v>557</v>
      </c>
      <c r="B30" s="2" t="s">
        <v>558</v>
      </c>
      <c r="C30" s="2" t="s">
        <v>515</v>
      </c>
      <c r="D30" s="2" t="s">
        <v>552</v>
      </c>
      <c r="E30" s="2" t="s">
        <v>257</v>
      </c>
      <c r="F30" s="2"/>
      <c r="G30" s="2"/>
      <c r="H30" s="2"/>
      <c r="I30" s="2" t="n">
        <v>2.967</v>
      </c>
      <c r="J30" s="2" t="n">
        <v>2.967</v>
      </c>
      <c r="K30" s="2" t="n">
        <v>2.967</v>
      </c>
      <c r="L30" s="2"/>
      <c r="M30" s="4" t="s">
        <v>43</v>
      </c>
      <c r="N30" s="2" t="n">
        <f aca="false">MAX(0.1,ROUNDUP(ROUND(I30,6)*10,0)/10)</f>
        <v>3</v>
      </c>
      <c r="O30" s="2" t="n">
        <f aca="false">MAX(0.1,ROUNDUP(ROUND(K30,6)*10,0)/10)</f>
        <v>3</v>
      </c>
      <c r="P30" s="2" t="str">
        <f aca="false">IF(N30&lt;&gt;O30,"yes","no")</f>
        <v>no</v>
      </c>
      <c r="Q30" s="2"/>
    </row>
    <row r="31" customFormat="false" ht="15" hidden="false" customHeight="false" outlineLevel="0" collapsed="false">
      <c r="A31" s="2" t="s">
        <v>559</v>
      </c>
      <c r="B31" s="2" t="s">
        <v>560</v>
      </c>
      <c r="C31" s="2" t="s">
        <v>515</v>
      </c>
      <c r="D31" s="2" t="s">
        <v>552</v>
      </c>
      <c r="E31" s="2" t="s">
        <v>257</v>
      </c>
      <c r="F31" s="2" t="n">
        <v>2275</v>
      </c>
      <c r="G31" s="2" t="n">
        <v>35</v>
      </c>
      <c r="H31" s="2" t="n">
        <v>-45.1</v>
      </c>
      <c r="I31" s="2" t="n">
        <v>1.935</v>
      </c>
      <c r="J31" s="2" t="n">
        <v>1.935</v>
      </c>
      <c r="K31" s="2" t="n">
        <v>1.943</v>
      </c>
      <c r="L31" s="2" t="n">
        <v>0.1635</v>
      </c>
      <c r="M31" s="4" t="s">
        <v>71</v>
      </c>
      <c r="N31" s="2" t="n">
        <f aca="false">MAX(0.1,ROUNDUP(ROUND(I31,6)*10,0)/10)</f>
        <v>2</v>
      </c>
      <c r="O31" s="2" t="n">
        <f aca="false">MAX(0.1,ROUNDUP(ROUND(K31,6)*10,0)/10)</f>
        <v>2</v>
      </c>
      <c r="P31" s="2" t="str">
        <f aca="false">IF(N31&lt;&gt;O31,"yes","no")</f>
        <v>no</v>
      </c>
      <c r="Q31" s="2"/>
    </row>
    <row r="32" customFormat="false" ht="15" hidden="false" customHeight="false" outlineLevel="0" collapsed="false">
      <c r="A32" s="2" t="s">
        <v>561</v>
      </c>
      <c r="B32" s="2" t="s">
        <v>562</v>
      </c>
      <c r="C32" s="2" t="s">
        <v>515</v>
      </c>
      <c r="D32" s="2" t="s">
        <v>552</v>
      </c>
      <c r="E32" s="2" t="s">
        <v>257</v>
      </c>
      <c r="F32" s="2" t="n">
        <v>380</v>
      </c>
      <c r="G32" s="2" t="n">
        <v>35</v>
      </c>
      <c r="H32" s="2" t="n">
        <v>-58.192841</v>
      </c>
      <c r="I32" s="2" t="n">
        <v>0</v>
      </c>
      <c r="J32" s="2" t="n">
        <v>0</v>
      </c>
      <c r="K32" s="2" t="n">
        <v>0.069</v>
      </c>
      <c r="L32" s="2" t="n">
        <v>0.114</v>
      </c>
      <c r="M32" s="4" t="s">
        <v>71</v>
      </c>
      <c r="N32" s="2" t="n">
        <f aca="false">MAX(0.1,ROUNDUP(ROUND(I32,6)*10,0)/10)</f>
        <v>0.1</v>
      </c>
      <c r="O32" s="2" t="n">
        <f aca="false">MAX(0.1,ROUNDUP(ROUND(K32,6)*10,0)/10)</f>
        <v>0.1</v>
      </c>
      <c r="P32" s="2" t="str">
        <f aca="false">IF(N32&lt;&gt;O32,"yes","no")</f>
        <v>no</v>
      </c>
      <c r="Q32" s="2"/>
    </row>
    <row r="33" customFormat="false" ht="15" hidden="false" customHeight="false" outlineLevel="0" collapsed="false">
      <c r="A33" s="2" t="s">
        <v>563</v>
      </c>
      <c r="B33" s="2" t="s">
        <v>564</v>
      </c>
      <c r="C33" s="2" t="s">
        <v>515</v>
      </c>
      <c r="D33" s="2" t="s">
        <v>552</v>
      </c>
      <c r="E33" s="2" t="s">
        <v>257</v>
      </c>
      <c r="F33" s="2"/>
      <c r="G33" s="2"/>
      <c r="H33" s="2"/>
      <c r="I33" s="2" t="n">
        <v>5.927</v>
      </c>
      <c r="J33" s="2" t="n">
        <v>5.927</v>
      </c>
      <c r="K33" s="2" t="n">
        <v>5.927</v>
      </c>
      <c r="L33" s="2"/>
      <c r="M33" s="4" t="s">
        <v>43</v>
      </c>
      <c r="N33" s="2" t="n">
        <f aca="false">MAX(0.1,ROUNDUP(ROUND(I33,6)*10,0)/10)</f>
        <v>6</v>
      </c>
      <c r="O33" s="2" t="n">
        <f aca="false">MAX(0.1,ROUNDUP(ROUND(K33,6)*10,0)/10)</f>
        <v>6</v>
      </c>
      <c r="P33" s="2" t="str">
        <f aca="false">IF(N33&lt;&gt;O33,"yes","no")</f>
        <v>no</v>
      </c>
      <c r="Q33" s="2"/>
    </row>
    <row r="34" customFormat="false" ht="15" hidden="false" customHeight="false" outlineLevel="0" collapsed="false">
      <c r="A34" s="2" t="s">
        <v>565</v>
      </c>
      <c r="B34" s="2" t="s">
        <v>566</v>
      </c>
      <c r="C34" s="2" t="s">
        <v>515</v>
      </c>
      <c r="D34" s="2" t="s">
        <v>552</v>
      </c>
      <c r="E34" s="2" t="s">
        <v>257</v>
      </c>
      <c r="F34" s="2"/>
      <c r="G34" s="2"/>
      <c r="H34" s="2"/>
      <c r="I34" s="2" t="n">
        <v>0.999</v>
      </c>
      <c r="J34" s="2" t="n">
        <v>0.999</v>
      </c>
      <c r="K34" s="2" t="n">
        <v>0.999</v>
      </c>
      <c r="L34" s="2"/>
      <c r="M34" s="4" t="s">
        <v>43</v>
      </c>
      <c r="N34" s="2" t="n">
        <f aca="false">MAX(0.1,ROUNDUP(ROUND(I34,6)*10,0)/10)</f>
        <v>1</v>
      </c>
      <c r="O34" s="2" t="n">
        <f aca="false">MAX(0.1,ROUNDUP(ROUND(K34,6)*10,0)/10)</f>
        <v>1</v>
      </c>
      <c r="P34" s="2" t="str">
        <f aca="false">IF(N34&lt;&gt;O34,"yes","no")</f>
        <v>no</v>
      </c>
      <c r="Q34" s="2"/>
    </row>
    <row r="35" customFormat="false" ht="15" hidden="false" customHeight="false" outlineLevel="0" collapsed="false">
      <c r="A35" s="2" t="s">
        <v>567</v>
      </c>
      <c r="B35" s="2" t="s">
        <v>527</v>
      </c>
      <c r="C35" s="2" t="s">
        <v>515</v>
      </c>
      <c r="D35" s="2" t="s">
        <v>552</v>
      </c>
      <c r="E35" s="2" t="s">
        <v>257</v>
      </c>
      <c r="F35" s="2"/>
      <c r="G35" s="2"/>
      <c r="H35" s="2"/>
      <c r="I35" s="2" t="n">
        <v>0.851</v>
      </c>
      <c r="J35" s="2" t="n">
        <v>0.851</v>
      </c>
      <c r="K35" s="2" t="n">
        <v>0.851</v>
      </c>
      <c r="L35" s="2"/>
      <c r="M35" s="4" t="s">
        <v>43</v>
      </c>
      <c r="N35" s="2" t="n">
        <f aca="false">MAX(0.1,ROUNDUP(ROUND(I35,6)*10,0)/10)</f>
        <v>0.9</v>
      </c>
      <c r="O35" s="2" t="n">
        <f aca="false">MAX(0.1,ROUNDUP(ROUND(K35,6)*10,0)/10)</f>
        <v>0.9</v>
      </c>
      <c r="P35" s="2" t="str">
        <f aca="false">IF(N35&lt;&gt;O35,"yes","no")</f>
        <v>no</v>
      </c>
      <c r="Q35" s="2"/>
    </row>
    <row r="36" customFormat="false" ht="15" hidden="false" customHeight="false" outlineLevel="0" collapsed="false">
      <c r="A36" s="2" t="s">
        <v>568</v>
      </c>
      <c r="B36" s="2" t="s">
        <v>527</v>
      </c>
      <c r="C36" s="2" t="s">
        <v>515</v>
      </c>
      <c r="D36" s="2" t="s">
        <v>552</v>
      </c>
      <c r="E36" s="2" t="s">
        <v>257</v>
      </c>
      <c r="F36" s="2"/>
      <c r="G36" s="2"/>
      <c r="H36" s="2"/>
      <c r="I36" s="2" t="n">
        <v>4.555</v>
      </c>
      <c r="J36" s="2" t="n">
        <v>4.555</v>
      </c>
      <c r="K36" s="2" t="n">
        <v>4.555</v>
      </c>
      <c r="L36" s="2"/>
      <c r="M36" s="4" t="s">
        <v>43</v>
      </c>
      <c r="N36" s="2" t="n">
        <f aca="false">MAX(0.1,ROUNDUP(ROUND(I36,6)*10,0)/10)</f>
        <v>4.6</v>
      </c>
      <c r="O36" s="2" t="n">
        <f aca="false">MAX(0.1,ROUNDUP(ROUND(K36,6)*10,0)/10)</f>
        <v>4.6</v>
      </c>
      <c r="P36" s="2" t="str">
        <f aca="false">IF(N36&lt;&gt;O36,"yes","no")</f>
        <v>no</v>
      </c>
      <c r="Q36" s="2"/>
    </row>
    <row r="37" customFormat="false" ht="15" hidden="false" customHeight="false" outlineLevel="0" collapsed="false">
      <c r="A37" s="2" t="s">
        <v>569</v>
      </c>
      <c r="B37" s="2" t="s">
        <v>527</v>
      </c>
      <c r="C37" s="2" t="s">
        <v>515</v>
      </c>
      <c r="D37" s="2" t="s">
        <v>552</v>
      </c>
      <c r="E37" s="2" t="s">
        <v>257</v>
      </c>
      <c r="F37" s="2" t="n">
        <v>4990</v>
      </c>
      <c r="G37" s="2" t="n">
        <v>125</v>
      </c>
      <c r="H37" s="2" t="n">
        <v>-13.845936</v>
      </c>
      <c r="I37" s="2" t="n">
        <v>5.34</v>
      </c>
      <c r="J37" s="2" t="n">
        <v>5.34</v>
      </c>
      <c r="K37" s="2" t="n">
        <v>5.306</v>
      </c>
      <c r="L37" s="2" t="n">
        <v>0.322</v>
      </c>
      <c r="M37" s="4" t="s">
        <v>71</v>
      </c>
      <c r="N37" s="2" t="n">
        <f aca="false">MAX(0.1,ROUNDUP(ROUND(I37,6)*10,0)/10)</f>
        <v>5.4</v>
      </c>
      <c r="O37" s="2" t="n">
        <f aca="false">MAX(0.1,ROUNDUP(ROUND(K37,6)*10,0)/10)</f>
        <v>5.4</v>
      </c>
      <c r="P37" s="2" t="str">
        <f aca="false">IF(N37&lt;&gt;O37,"yes","no")</f>
        <v>no</v>
      </c>
      <c r="Q37" s="2"/>
    </row>
    <row r="38" customFormat="false" ht="15" hidden="false" customHeight="false" outlineLevel="0" collapsed="false">
      <c r="A38" s="2" t="s">
        <v>570</v>
      </c>
      <c r="B38" s="2" t="s">
        <v>527</v>
      </c>
      <c r="C38" s="2" t="s">
        <v>515</v>
      </c>
      <c r="D38" s="2" t="s">
        <v>552</v>
      </c>
      <c r="E38" s="2" t="s">
        <v>257</v>
      </c>
      <c r="F38" s="2"/>
      <c r="G38" s="2"/>
      <c r="H38" s="2"/>
      <c r="I38" s="2" t="n">
        <v>1.107</v>
      </c>
      <c r="J38" s="2" t="n">
        <v>1.107</v>
      </c>
      <c r="K38" s="2" t="n">
        <v>1.107</v>
      </c>
      <c r="L38" s="2"/>
      <c r="M38" s="4" t="s">
        <v>43</v>
      </c>
      <c r="N38" s="2" t="n">
        <f aca="false">MAX(0.1,ROUNDUP(ROUND(I38,6)*10,0)/10)</f>
        <v>1.2</v>
      </c>
      <c r="O38" s="2" t="n">
        <f aca="false">MAX(0.1,ROUNDUP(ROUND(K38,6)*10,0)/10)</f>
        <v>1.2</v>
      </c>
      <c r="P38" s="2" t="str">
        <f aca="false">IF(N38&lt;&gt;O38,"yes","no")</f>
        <v>no</v>
      </c>
      <c r="Q38" s="2"/>
    </row>
    <row r="39" customFormat="false" ht="15" hidden="false" customHeight="false" outlineLevel="0" collapsed="false">
      <c r="A39" s="2" t="s">
        <v>571</v>
      </c>
      <c r="B39" s="2" t="s">
        <v>527</v>
      </c>
      <c r="C39" s="2" t="s">
        <v>515</v>
      </c>
      <c r="D39" s="2" t="s">
        <v>552</v>
      </c>
      <c r="E39" s="2" t="s">
        <v>257</v>
      </c>
      <c r="F39" s="2"/>
      <c r="G39" s="2"/>
      <c r="H39" s="2"/>
      <c r="I39" s="2" t="n">
        <v>5.473</v>
      </c>
      <c r="J39" s="2" t="n">
        <v>5.473</v>
      </c>
      <c r="K39" s="2" t="n">
        <v>5.473</v>
      </c>
      <c r="L39" s="2"/>
      <c r="M39" s="4" t="s">
        <v>43</v>
      </c>
      <c r="N39" s="2" t="n">
        <f aca="false">MAX(0.1,ROUNDUP(ROUND(I39,6)*10,0)/10)</f>
        <v>5.5</v>
      </c>
      <c r="O39" s="2" t="n">
        <f aca="false">MAX(0.1,ROUNDUP(ROUND(K39,6)*10,0)/10)</f>
        <v>5.5</v>
      </c>
      <c r="P39" s="2" t="str">
        <f aca="false">IF(N39&lt;&gt;O39,"yes","no")</f>
        <v>no</v>
      </c>
      <c r="Q39" s="2"/>
    </row>
    <row r="40" customFormat="false" ht="15" hidden="false" customHeight="false" outlineLevel="0" collapsed="false">
      <c r="A40" s="2" t="s">
        <v>572</v>
      </c>
      <c r="B40" s="2" t="s">
        <v>551</v>
      </c>
      <c r="C40" s="2" t="s">
        <v>515</v>
      </c>
      <c r="D40" s="2" t="s">
        <v>573</v>
      </c>
      <c r="E40" s="2" t="s">
        <v>393</v>
      </c>
      <c r="F40" s="2"/>
      <c r="G40" s="2"/>
      <c r="H40" s="2"/>
      <c r="I40" s="2" t="n">
        <v>5.828</v>
      </c>
      <c r="J40" s="2" t="n">
        <v>5.828</v>
      </c>
      <c r="K40" s="2" t="n">
        <v>5.828</v>
      </c>
      <c r="L40" s="2" t="n">
        <v>0.025</v>
      </c>
      <c r="M40" s="4" t="s">
        <v>71</v>
      </c>
      <c r="N40" s="2" t="n">
        <f aca="false">MAX(0.1,ROUNDUP(ROUND(I40,6)*10,0)/10)</f>
        <v>5.9</v>
      </c>
      <c r="O40" s="2" t="n">
        <f aca="false">MAX(0.1,ROUNDUP(ROUND(K40,6)*10,0)/10)</f>
        <v>5.9</v>
      </c>
      <c r="P40" s="2" t="str">
        <f aca="false">IF(N40&lt;&gt;O40,"yes","no")</f>
        <v>no</v>
      </c>
      <c r="Q40" s="2"/>
    </row>
    <row r="41" customFormat="false" ht="15" hidden="false" customHeight="false" outlineLevel="0" collapsed="false">
      <c r="A41" s="2" t="s">
        <v>574</v>
      </c>
      <c r="B41" s="2" t="s">
        <v>551</v>
      </c>
      <c r="C41" s="2" t="s">
        <v>515</v>
      </c>
      <c r="D41" s="2" t="s">
        <v>573</v>
      </c>
      <c r="E41" s="2" t="s">
        <v>257</v>
      </c>
      <c r="F41" s="2" t="n">
        <v>5420</v>
      </c>
      <c r="G41" s="2" t="n">
        <v>30</v>
      </c>
      <c r="H41" s="2" t="n">
        <v>-9.65</v>
      </c>
      <c r="I41" s="2" t="n">
        <v>5.804</v>
      </c>
      <c r="J41" s="2" t="n">
        <v>5.796</v>
      </c>
      <c r="K41" s="2" t="n">
        <v>5.796</v>
      </c>
      <c r="L41" s="2" t="n">
        <v>0.15</v>
      </c>
      <c r="M41" s="4" t="s">
        <v>71</v>
      </c>
      <c r="N41" s="2" t="n">
        <f aca="false">MAX(0.1,ROUNDUP(ROUND(I41,6)*10,0)/10)</f>
        <v>5.9</v>
      </c>
      <c r="O41" s="2" t="n">
        <f aca="false">MAX(0.1,ROUNDUP(ROUND(K41,6)*10,0)/10)</f>
        <v>5.8</v>
      </c>
      <c r="P41" s="2" t="str">
        <f aca="false">IF(N41&lt;&gt;O41,"yes","no")</f>
        <v>yes</v>
      </c>
      <c r="Q41" s="2"/>
    </row>
    <row r="42" customFormat="false" ht="15" hidden="false" customHeight="false" outlineLevel="0" collapsed="false">
      <c r="A42" s="2" t="s">
        <v>575</v>
      </c>
      <c r="B42" s="2" t="s">
        <v>551</v>
      </c>
      <c r="C42" s="2" t="s">
        <v>515</v>
      </c>
      <c r="D42" s="2" t="s">
        <v>573</v>
      </c>
      <c r="E42" s="2" t="s">
        <v>257</v>
      </c>
      <c r="F42" s="2" t="n">
        <v>5480</v>
      </c>
      <c r="G42" s="2" t="n">
        <v>30</v>
      </c>
      <c r="H42" s="2" t="n">
        <v>-8.11</v>
      </c>
      <c r="I42" s="2" t="n">
        <v>5.869</v>
      </c>
      <c r="J42" s="2" t="n">
        <v>5.858</v>
      </c>
      <c r="K42" s="2" t="n">
        <v>5.858</v>
      </c>
      <c r="L42" s="2" t="n">
        <v>0.1565</v>
      </c>
      <c r="M42" s="4" t="s">
        <v>71</v>
      </c>
      <c r="N42" s="2" t="n">
        <f aca="false">MAX(0.1,ROUNDUP(ROUND(I42,6)*10,0)/10)</f>
        <v>5.9</v>
      </c>
      <c r="O42" s="2" t="n">
        <f aca="false">MAX(0.1,ROUNDUP(ROUND(K42,6)*10,0)/10)</f>
        <v>5.9</v>
      </c>
      <c r="P42" s="2" t="str">
        <f aca="false">IF(N42&lt;&gt;O42,"yes","no")</f>
        <v>no</v>
      </c>
      <c r="Q42" s="2"/>
    </row>
    <row r="43" customFormat="false" ht="15" hidden="false" customHeight="false" outlineLevel="0" collapsed="false">
      <c r="A43" s="2" t="s">
        <v>576</v>
      </c>
      <c r="B43" s="2" t="s">
        <v>551</v>
      </c>
      <c r="C43" s="2" t="s">
        <v>515</v>
      </c>
      <c r="D43" s="2" t="s">
        <v>573</v>
      </c>
      <c r="E43" s="2" t="s">
        <v>257</v>
      </c>
      <c r="F43" s="2" t="n">
        <v>5580</v>
      </c>
      <c r="G43" s="2" t="n">
        <v>40</v>
      </c>
      <c r="H43" s="2" t="n">
        <v>-5.16</v>
      </c>
      <c r="I43" s="2" t="n">
        <v>5.976</v>
      </c>
      <c r="J43" s="2" t="n">
        <v>5.976</v>
      </c>
      <c r="K43" s="2" t="n">
        <v>5.976</v>
      </c>
      <c r="L43" s="2" t="n">
        <v>0.1835</v>
      </c>
      <c r="M43" s="4" t="s">
        <v>71</v>
      </c>
      <c r="N43" s="2" t="n">
        <f aca="false">MAX(0.1,ROUNDUP(ROUND(I43,6)*10,0)/10)</f>
        <v>6</v>
      </c>
      <c r="O43" s="2" t="n">
        <f aca="false">MAX(0.1,ROUNDUP(ROUND(K43,6)*10,0)/10)</f>
        <v>6</v>
      </c>
      <c r="P43" s="2" t="str">
        <f aca="false">IF(N43&lt;&gt;O43,"yes","no")</f>
        <v>no</v>
      </c>
      <c r="Q43" s="2"/>
    </row>
    <row r="44" customFormat="false" ht="15" hidden="false" customHeight="false" outlineLevel="0" collapsed="false">
      <c r="A44" s="2" t="s">
        <v>577</v>
      </c>
      <c r="B44" s="2" t="s">
        <v>578</v>
      </c>
      <c r="C44" s="2" t="s">
        <v>515</v>
      </c>
      <c r="D44" s="2" t="s">
        <v>573</v>
      </c>
      <c r="E44" s="2" t="s">
        <v>257</v>
      </c>
      <c r="F44" s="2" t="n">
        <v>2700</v>
      </c>
      <c r="G44" s="2" t="n">
        <v>20</v>
      </c>
      <c r="H44" s="2" t="n">
        <v>-32.49472</v>
      </c>
      <c r="I44" s="2" t="n">
        <v>2.438</v>
      </c>
      <c r="J44" s="2" t="n">
        <v>2.468</v>
      </c>
      <c r="K44" s="2" t="n">
        <v>2.468</v>
      </c>
      <c r="L44" s="2" t="n">
        <v>0.161</v>
      </c>
      <c r="M44" s="4" t="s">
        <v>71</v>
      </c>
      <c r="N44" s="2" t="n">
        <f aca="false">MAX(0.1,ROUNDUP(ROUND(I44,6)*10,0)/10)</f>
        <v>2.5</v>
      </c>
      <c r="O44" s="2" t="n">
        <f aca="false">MAX(0.1,ROUNDUP(ROUND(K44,6)*10,0)/10)</f>
        <v>2.5</v>
      </c>
      <c r="P44" s="2" t="str">
        <f aca="false">IF(N44&lt;&gt;O44,"yes","no")</f>
        <v>no</v>
      </c>
      <c r="Q44" s="2"/>
    </row>
    <row r="45" customFormat="false" ht="15" hidden="false" customHeight="false" outlineLevel="0" collapsed="false">
      <c r="A45" s="2" t="s">
        <v>579</v>
      </c>
      <c r="B45" s="2" t="s">
        <v>578</v>
      </c>
      <c r="C45" s="2" t="s">
        <v>515</v>
      </c>
      <c r="D45" s="2" t="s">
        <v>573</v>
      </c>
      <c r="E45" s="2" t="s">
        <v>257</v>
      </c>
      <c r="F45" s="2" t="n">
        <v>2830</v>
      </c>
      <c r="G45" s="2" t="n">
        <v>20</v>
      </c>
      <c r="H45" s="2" t="n">
        <v>-24.796033</v>
      </c>
      <c r="I45" s="2" t="n">
        <v>2.627</v>
      </c>
      <c r="J45" s="2" t="n">
        <v>2.618</v>
      </c>
      <c r="K45" s="2" t="n">
        <v>2.618</v>
      </c>
      <c r="L45" s="2" t="n">
        <v>0.1415</v>
      </c>
      <c r="M45" s="4" t="s">
        <v>71</v>
      </c>
      <c r="N45" s="2" t="n">
        <f aca="false">MAX(0.1,ROUNDUP(ROUND(I45,6)*10,0)/10)</f>
        <v>2.7</v>
      </c>
      <c r="O45" s="2" t="n">
        <f aca="false">MAX(0.1,ROUNDUP(ROUND(K45,6)*10,0)/10)</f>
        <v>2.7</v>
      </c>
      <c r="P45" s="2" t="str">
        <f aca="false">IF(N45&lt;&gt;O45,"yes","no")</f>
        <v>no</v>
      </c>
      <c r="Q45" s="2"/>
    </row>
    <row r="46" customFormat="false" ht="15" hidden="false" customHeight="false" outlineLevel="0" collapsed="false">
      <c r="A46" s="2" t="s">
        <v>580</v>
      </c>
      <c r="B46" s="2" t="s">
        <v>578</v>
      </c>
      <c r="C46" s="2" t="s">
        <v>515</v>
      </c>
      <c r="D46" s="2" t="s">
        <v>573</v>
      </c>
      <c r="E46" s="2" t="s">
        <v>257</v>
      </c>
      <c r="F46" s="2" t="n">
        <v>2670</v>
      </c>
      <c r="G46" s="2" t="n">
        <v>15</v>
      </c>
      <c r="H46" s="2" t="n">
        <v>-34.202363</v>
      </c>
      <c r="I46" s="2" t="n">
        <v>2.4</v>
      </c>
      <c r="J46" s="2" t="n">
        <v>2.431</v>
      </c>
      <c r="K46" s="2" t="n">
        <v>2.431</v>
      </c>
      <c r="L46" s="2" t="n">
        <v>0.1565</v>
      </c>
      <c r="M46" s="4" t="s">
        <v>71</v>
      </c>
      <c r="N46" s="2" t="n">
        <f aca="false">MAX(0.1,ROUNDUP(ROUND(I46,6)*10,0)/10)</f>
        <v>2.4</v>
      </c>
      <c r="O46" s="2" t="n">
        <f aca="false">MAX(0.1,ROUNDUP(ROUND(K46,6)*10,0)/10)</f>
        <v>2.5</v>
      </c>
      <c r="P46" s="2" t="str">
        <f aca="false">IF(N46&lt;&gt;O46,"yes","no")</f>
        <v>yes</v>
      </c>
      <c r="Q46" s="2"/>
    </row>
    <row r="47" customFormat="false" ht="15" hidden="false" customHeight="false" outlineLevel="0" collapsed="false">
      <c r="A47" s="2" t="s">
        <v>581</v>
      </c>
      <c r="B47" s="2" t="s">
        <v>582</v>
      </c>
      <c r="C47" s="2" t="s">
        <v>515</v>
      </c>
      <c r="D47" s="2" t="s">
        <v>573</v>
      </c>
      <c r="E47" s="2" t="s">
        <v>257</v>
      </c>
      <c r="F47" s="2" t="n">
        <v>3370</v>
      </c>
      <c r="G47" s="2" t="n">
        <v>60</v>
      </c>
      <c r="H47" s="2" t="n">
        <v>-9.19</v>
      </c>
      <c r="I47" s="2" t="n">
        <v>3.24</v>
      </c>
      <c r="J47" s="2" t="n">
        <v>3.251</v>
      </c>
      <c r="K47" s="2" t="n">
        <v>3.251</v>
      </c>
      <c r="L47" s="2" t="n">
        <v>0.196</v>
      </c>
      <c r="M47" s="4" t="s">
        <v>71</v>
      </c>
      <c r="N47" s="2" t="n">
        <f aca="false">MAX(0.1,ROUNDUP(ROUND(I47,6)*10,0)/10)</f>
        <v>3.3</v>
      </c>
      <c r="O47" s="2" t="n">
        <f aca="false">MAX(0.1,ROUNDUP(ROUND(K47,6)*10,0)/10)</f>
        <v>3.3</v>
      </c>
      <c r="P47" s="2" t="str">
        <f aca="false">IF(N47&lt;&gt;O47,"yes","no")</f>
        <v>no</v>
      </c>
      <c r="Q47" s="2"/>
    </row>
    <row r="48" customFormat="false" ht="15" hidden="false" customHeight="false" outlineLevel="0" collapsed="false">
      <c r="A48" s="2" t="s">
        <v>583</v>
      </c>
      <c r="B48" s="2" t="s">
        <v>582</v>
      </c>
      <c r="C48" s="2" t="s">
        <v>515</v>
      </c>
      <c r="D48" s="2" t="s">
        <v>573</v>
      </c>
      <c r="E48" s="2" t="s">
        <v>257</v>
      </c>
      <c r="F48" s="2" t="n">
        <v>3355</v>
      </c>
      <c r="G48" s="2" t="n">
        <v>55</v>
      </c>
      <c r="H48" s="2" t="n">
        <v>-8.98</v>
      </c>
      <c r="I48" s="2" t="n">
        <v>3.223</v>
      </c>
      <c r="J48" s="2" t="n">
        <v>3.233</v>
      </c>
      <c r="K48" s="2" t="n">
        <v>3.233</v>
      </c>
      <c r="L48" s="2" t="n">
        <v>0.1895</v>
      </c>
      <c r="M48" s="4" t="s">
        <v>71</v>
      </c>
      <c r="N48" s="2" t="n">
        <f aca="false">MAX(0.1,ROUNDUP(ROUND(I48,6)*10,0)/10)</f>
        <v>3.3</v>
      </c>
      <c r="O48" s="2" t="n">
        <f aca="false">MAX(0.1,ROUNDUP(ROUND(K48,6)*10,0)/10)</f>
        <v>3.3</v>
      </c>
      <c r="P48" s="2" t="str">
        <f aca="false">IF(N48&lt;&gt;O48,"yes","no")</f>
        <v>no</v>
      </c>
      <c r="Q48" s="2"/>
    </row>
    <row r="49" customFormat="false" ht="15" hidden="false" customHeight="false" outlineLevel="0" collapsed="false">
      <c r="A49" s="2" t="s">
        <v>584</v>
      </c>
      <c r="B49" s="2" t="s">
        <v>582</v>
      </c>
      <c r="C49" s="2" t="s">
        <v>515</v>
      </c>
      <c r="D49" s="2" t="s">
        <v>573</v>
      </c>
      <c r="E49" s="2" t="s">
        <v>257</v>
      </c>
      <c r="F49" s="2" t="n">
        <v>3410</v>
      </c>
      <c r="G49" s="2" t="n">
        <v>60</v>
      </c>
      <c r="H49" s="2" t="n">
        <v>-9.9</v>
      </c>
      <c r="I49" s="2" t="n">
        <v>3.286</v>
      </c>
      <c r="J49" s="2" t="n">
        <v>3.3</v>
      </c>
      <c r="K49" s="2" t="n">
        <v>3.3</v>
      </c>
      <c r="L49" s="2" t="n">
        <v>0.1945</v>
      </c>
      <c r="M49" s="4" t="s">
        <v>71</v>
      </c>
      <c r="N49" s="2" t="n">
        <f aca="false">MAX(0.1,ROUNDUP(ROUND(I49,6)*10,0)/10)</f>
        <v>3.3</v>
      </c>
      <c r="O49" s="2" t="n">
        <f aca="false">MAX(0.1,ROUNDUP(ROUND(K49,6)*10,0)/10)</f>
        <v>3.3</v>
      </c>
      <c r="P49" s="2" t="str">
        <f aca="false">IF(N49&lt;&gt;O49,"yes","no")</f>
        <v>no</v>
      </c>
      <c r="Q49" s="2"/>
    </row>
    <row r="50" customFormat="false" ht="15" hidden="false" customHeight="false" outlineLevel="0" collapsed="false">
      <c r="A50" s="2" t="s">
        <v>585</v>
      </c>
      <c r="B50" s="2" t="s">
        <v>582</v>
      </c>
      <c r="C50" s="2" t="s">
        <v>515</v>
      </c>
      <c r="D50" s="2" t="s">
        <v>573</v>
      </c>
      <c r="E50" s="2" t="s">
        <v>257</v>
      </c>
      <c r="F50" s="2" t="n">
        <v>3250</v>
      </c>
      <c r="G50" s="2" t="n">
        <v>60</v>
      </c>
      <c r="H50" s="2" t="n">
        <v>-8.39</v>
      </c>
      <c r="I50" s="2" t="n">
        <v>3.081</v>
      </c>
      <c r="J50" s="2" t="n">
        <v>3.091</v>
      </c>
      <c r="K50" s="2" t="n">
        <v>3.091</v>
      </c>
      <c r="L50" s="2" t="n">
        <v>0.211</v>
      </c>
      <c r="M50" s="4" t="s">
        <v>71</v>
      </c>
      <c r="N50" s="2" t="n">
        <f aca="false">MAX(0.1,ROUNDUP(ROUND(I50,6)*10,0)/10)</f>
        <v>3.1</v>
      </c>
      <c r="O50" s="2" t="n">
        <f aca="false">MAX(0.1,ROUNDUP(ROUND(K50,6)*10,0)/10)</f>
        <v>3.1</v>
      </c>
      <c r="P50" s="2" t="str">
        <f aca="false">IF(N50&lt;&gt;O50,"yes","no")</f>
        <v>no</v>
      </c>
      <c r="Q50" s="2"/>
    </row>
    <row r="51" customFormat="false" ht="15" hidden="false" customHeight="false" outlineLevel="0" collapsed="false">
      <c r="A51" s="2" t="s">
        <v>586</v>
      </c>
      <c r="B51" s="2" t="s">
        <v>582</v>
      </c>
      <c r="C51" s="2" t="s">
        <v>515</v>
      </c>
      <c r="D51" s="2" t="s">
        <v>573</v>
      </c>
      <c r="E51" s="2" t="s">
        <v>257</v>
      </c>
      <c r="F51" s="2" t="n">
        <v>3140</v>
      </c>
      <c r="G51" s="2" t="n">
        <v>60</v>
      </c>
      <c r="H51" s="2" t="n">
        <v>-9.99</v>
      </c>
      <c r="I51" s="2" t="n">
        <v>2.939</v>
      </c>
      <c r="J51" s="2" t="n">
        <v>2.949</v>
      </c>
      <c r="K51" s="2" t="n">
        <v>2.949</v>
      </c>
      <c r="L51" s="2" t="n">
        <v>0.2</v>
      </c>
      <c r="M51" s="4" t="s">
        <v>71</v>
      </c>
      <c r="N51" s="2" t="n">
        <f aca="false">MAX(0.1,ROUNDUP(ROUND(I51,6)*10,0)/10)</f>
        <v>3</v>
      </c>
      <c r="O51" s="2" t="n">
        <f aca="false">MAX(0.1,ROUNDUP(ROUND(K51,6)*10,0)/10)</f>
        <v>3</v>
      </c>
      <c r="P51" s="2" t="str">
        <f aca="false">IF(N51&lt;&gt;O51,"yes","no")</f>
        <v>no</v>
      </c>
      <c r="Q51" s="2"/>
    </row>
    <row r="52" customFormat="false" ht="15" hidden="false" customHeight="false" outlineLevel="0" collapsed="false">
      <c r="A52" s="2" t="s">
        <v>581</v>
      </c>
      <c r="B52" s="2" t="s">
        <v>582</v>
      </c>
      <c r="C52" s="2" t="s">
        <v>515</v>
      </c>
      <c r="D52" s="2" t="s">
        <v>573</v>
      </c>
      <c r="E52" s="2" t="s">
        <v>257</v>
      </c>
      <c r="F52" s="2" t="n">
        <v>4190</v>
      </c>
      <c r="G52" s="2" t="n">
        <v>70</v>
      </c>
      <c r="H52" s="2" t="n">
        <v>-34.18</v>
      </c>
      <c r="I52" s="2" t="n">
        <v>4.317</v>
      </c>
      <c r="J52" s="2" t="n">
        <v>4.334</v>
      </c>
      <c r="K52" s="2" t="n">
        <v>4.334</v>
      </c>
      <c r="L52" s="2" t="n">
        <v>0.2365</v>
      </c>
      <c r="M52" s="4" t="s">
        <v>71</v>
      </c>
      <c r="N52" s="2" t="n">
        <f aca="false">MAX(0.1,ROUNDUP(ROUND(I52,6)*10,0)/10)</f>
        <v>4.4</v>
      </c>
      <c r="O52" s="2" t="n">
        <f aca="false">MAX(0.1,ROUNDUP(ROUND(K52,6)*10,0)/10)</f>
        <v>4.4</v>
      </c>
      <c r="P52" s="2" t="str">
        <f aca="false">IF(N52&lt;&gt;O52,"yes","no")</f>
        <v>no</v>
      </c>
      <c r="Q52" s="2"/>
    </row>
    <row r="53" customFormat="false" ht="15" hidden="false" customHeight="false" outlineLevel="0" collapsed="false">
      <c r="A53" s="2" t="s">
        <v>585</v>
      </c>
      <c r="B53" s="2" t="s">
        <v>582</v>
      </c>
      <c r="C53" s="2" t="s">
        <v>515</v>
      </c>
      <c r="D53" s="2" t="s">
        <v>573</v>
      </c>
      <c r="E53" s="2" t="s">
        <v>257</v>
      </c>
      <c r="F53" s="2" t="n">
        <v>3340</v>
      </c>
      <c r="G53" s="2" t="n">
        <v>20</v>
      </c>
      <c r="H53" s="2" t="n">
        <v>-8.793017</v>
      </c>
      <c r="I53" s="2" t="n">
        <v>3.207</v>
      </c>
      <c r="J53" s="2" t="n">
        <v>3.218</v>
      </c>
      <c r="K53" s="2" t="n">
        <v>3.218</v>
      </c>
      <c r="L53" s="2" t="n">
        <v>0.1455</v>
      </c>
      <c r="M53" s="4" t="s">
        <v>71</v>
      </c>
      <c r="N53" s="2" t="n">
        <f aca="false">MAX(0.1,ROUNDUP(ROUND(I53,6)*10,0)/10)</f>
        <v>3.3</v>
      </c>
      <c r="O53" s="2" t="n">
        <f aca="false">MAX(0.1,ROUNDUP(ROUND(K53,6)*10,0)/10)</f>
        <v>3.3</v>
      </c>
      <c r="P53" s="2" t="str">
        <f aca="false">IF(N53&lt;&gt;O53,"yes","no")</f>
        <v>no</v>
      </c>
      <c r="Q53" s="2"/>
    </row>
    <row r="54" customFormat="false" ht="15" hidden="false" customHeight="false" outlineLevel="0" collapsed="false">
      <c r="A54" s="2" t="s">
        <v>587</v>
      </c>
      <c r="B54" s="2" t="s">
        <v>582</v>
      </c>
      <c r="C54" s="2" t="s">
        <v>515</v>
      </c>
      <c r="D54" s="2" t="s">
        <v>573</v>
      </c>
      <c r="E54" s="2" t="s">
        <v>257</v>
      </c>
      <c r="F54" s="2" t="n">
        <v>4920</v>
      </c>
      <c r="G54" s="2" t="n">
        <v>25</v>
      </c>
      <c r="H54" s="2" t="n">
        <v>-14.519427</v>
      </c>
      <c r="I54" s="2" t="n">
        <v>5.276</v>
      </c>
      <c r="J54" s="2" t="n">
        <v>5.241</v>
      </c>
      <c r="K54" s="2" t="n">
        <v>5.241</v>
      </c>
      <c r="L54" s="2" t="n">
        <v>0.181</v>
      </c>
      <c r="M54" s="4" t="s">
        <v>71</v>
      </c>
      <c r="N54" s="2" t="n">
        <f aca="false">MAX(0.1,ROUNDUP(ROUND(I54,6)*10,0)/10)</f>
        <v>5.3</v>
      </c>
      <c r="O54" s="2" t="n">
        <f aca="false">MAX(0.1,ROUNDUP(ROUND(K54,6)*10,0)/10)</f>
        <v>5.3</v>
      </c>
      <c r="P54" s="2" t="str">
        <f aca="false">IF(N54&lt;&gt;O54,"yes","no")</f>
        <v>no</v>
      </c>
      <c r="Q54" s="2"/>
    </row>
    <row r="55" customFormat="false" ht="15" hidden="false" customHeight="false" outlineLevel="0" collapsed="false">
      <c r="A55" s="2" t="s">
        <v>588</v>
      </c>
      <c r="B55" s="2" t="s">
        <v>582</v>
      </c>
      <c r="C55" s="2" t="s">
        <v>515</v>
      </c>
      <c r="D55" s="2" t="s">
        <v>573</v>
      </c>
      <c r="E55" s="2" t="s">
        <v>257</v>
      </c>
      <c r="F55" s="2" t="n">
        <v>4830</v>
      </c>
      <c r="G55" s="2" t="n">
        <v>70</v>
      </c>
      <c r="H55" s="2" t="n">
        <v>-16.06</v>
      </c>
      <c r="I55" s="2" t="n">
        <v>5.138</v>
      </c>
      <c r="J55" s="2" t="n">
        <v>5.12</v>
      </c>
      <c r="K55" s="2" t="n">
        <v>5.12</v>
      </c>
      <c r="L55" s="2" t="n">
        <v>0.2305</v>
      </c>
      <c r="M55" s="4" t="s">
        <v>71</v>
      </c>
      <c r="N55" s="2" t="n">
        <f aca="false">MAX(0.1,ROUNDUP(ROUND(I55,6)*10,0)/10)</f>
        <v>5.2</v>
      </c>
      <c r="O55" s="2" t="n">
        <f aca="false">MAX(0.1,ROUNDUP(ROUND(K55,6)*10,0)/10)</f>
        <v>5.2</v>
      </c>
      <c r="P55" s="2" t="str">
        <f aca="false">IF(N55&lt;&gt;O55,"yes","no")</f>
        <v>no</v>
      </c>
      <c r="Q55" s="2"/>
    </row>
    <row r="56" customFormat="false" ht="15" hidden="false" customHeight="false" outlineLevel="0" collapsed="false">
      <c r="A56" s="2" t="s">
        <v>589</v>
      </c>
      <c r="B56" s="2" t="s">
        <v>582</v>
      </c>
      <c r="C56" s="2" t="s">
        <v>515</v>
      </c>
      <c r="D56" s="2" t="s">
        <v>573</v>
      </c>
      <c r="E56" s="2" t="s">
        <v>257</v>
      </c>
      <c r="F56" s="2" t="n">
        <v>5410</v>
      </c>
      <c r="G56" s="2" t="n">
        <v>90</v>
      </c>
      <c r="H56" s="2" t="n">
        <v>-9.88</v>
      </c>
      <c r="I56" s="2" t="n">
        <v>5.79</v>
      </c>
      <c r="J56" s="2" t="n">
        <v>5.786</v>
      </c>
      <c r="K56" s="2" t="n">
        <v>5.786</v>
      </c>
      <c r="L56" s="2" t="n">
        <v>0.2305</v>
      </c>
      <c r="M56" s="4" t="s">
        <v>71</v>
      </c>
      <c r="N56" s="2" t="n">
        <f aca="false">MAX(0.1,ROUNDUP(ROUND(I56,6)*10,0)/10)</f>
        <v>5.8</v>
      </c>
      <c r="O56" s="2" t="n">
        <f aca="false">MAX(0.1,ROUNDUP(ROUND(K56,6)*10,0)/10)</f>
        <v>5.8</v>
      </c>
      <c r="P56" s="2" t="str">
        <f aca="false">IF(N56&lt;&gt;O56,"yes","no")</f>
        <v>no</v>
      </c>
      <c r="Q56" s="2"/>
    </row>
    <row r="57" customFormat="false" ht="15" hidden="false" customHeight="false" outlineLevel="0" collapsed="false">
      <c r="A57" s="2" t="s">
        <v>590</v>
      </c>
      <c r="B57" s="2" t="s">
        <v>582</v>
      </c>
      <c r="C57" s="2" t="s">
        <v>515</v>
      </c>
      <c r="D57" s="2" t="s">
        <v>573</v>
      </c>
      <c r="E57" s="2" t="s">
        <v>257</v>
      </c>
      <c r="F57" s="2" t="n">
        <v>5250</v>
      </c>
      <c r="G57" s="2" t="n">
        <v>80</v>
      </c>
      <c r="H57" s="2" t="n">
        <v>-12.44</v>
      </c>
      <c r="I57" s="2" t="n">
        <v>5.63</v>
      </c>
      <c r="J57" s="2" t="n">
        <v>5.619</v>
      </c>
      <c r="K57" s="2" t="n">
        <v>5.619</v>
      </c>
      <c r="L57" s="2" t="n">
        <v>0.2325</v>
      </c>
      <c r="M57" s="4" t="s">
        <v>71</v>
      </c>
      <c r="N57" s="2" t="n">
        <f aca="false">MAX(0.1,ROUNDUP(ROUND(I57,6)*10,0)/10)</f>
        <v>5.7</v>
      </c>
      <c r="O57" s="2" t="n">
        <f aca="false">MAX(0.1,ROUNDUP(ROUND(K57,6)*10,0)/10)</f>
        <v>5.7</v>
      </c>
      <c r="P57" s="2" t="str">
        <f aca="false">IF(N57&lt;&gt;O57,"yes","no")</f>
        <v>no</v>
      </c>
      <c r="Q57" s="2"/>
    </row>
    <row r="58" customFormat="false" ht="15" hidden="false" customHeight="false" outlineLevel="0" collapsed="false">
      <c r="A58" s="2" t="s">
        <v>591</v>
      </c>
      <c r="B58" s="2" t="s">
        <v>592</v>
      </c>
      <c r="C58" s="2" t="s">
        <v>515</v>
      </c>
      <c r="D58" s="2" t="s">
        <v>573</v>
      </c>
      <c r="E58" s="2" t="s">
        <v>257</v>
      </c>
      <c r="F58" s="2" t="n">
        <v>3470</v>
      </c>
      <c r="G58" s="2" t="n">
        <v>25</v>
      </c>
      <c r="H58" s="2" t="n">
        <v>-11.28</v>
      </c>
      <c r="I58" s="2" t="n">
        <v>3.364</v>
      </c>
      <c r="J58" s="2" t="n">
        <v>3.378</v>
      </c>
      <c r="K58" s="2" t="n">
        <v>3.378</v>
      </c>
      <c r="L58" s="2" t="n">
        <v>0.145</v>
      </c>
      <c r="M58" s="4" t="s">
        <v>71</v>
      </c>
      <c r="N58" s="2" t="n">
        <f aca="false">MAX(0.1,ROUNDUP(ROUND(I58,6)*10,0)/10)</f>
        <v>3.4</v>
      </c>
      <c r="O58" s="2" t="n">
        <f aca="false">MAX(0.1,ROUNDUP(ROUND(K58,6)*10,0)/10)</f>
        <v>3.4</v>
      </c>
      <c r="P58" s="2" t="str">
        <f aca="false">IF(N58&lt;&gt;O58,"yes","no")</f>
        <v>no</v>
      </c>
      <c r="Q58" s="2"/>
    </row>
    <row r="59" customFormat="false" ht="15" hidden="false" customHeight="false" outlineLevel="0" collapsed="false">
      <c r="A59" s="2" t="s">
        <v>593</v>
      </c>
      <c r="B59" s="2"/>
      <c r="C59" s="2" t="s">
        <v>594</v>
      </c>
      <c r="D59" s="2" t="s">
        <v>595</v>
      </c>
      <c r="E59" s="2" t="s">
        <v>393</v>
      </c>
      <c r="F59" s="2"/>
      <c r="G59" s="2"/>
      <c r="H59" s="2"/>
      <c r="I59" s="2" t="n">
        <v>0.975</v>
      </c>
      <c r="J59" s="2" t="n">
        <v>0.975</v>
      </c>
      <c r="K59" s="2" t="n">
        <v>0.975</v>
      </c>
      <c r="L59" s="2" t="n">
        <v>0.006</v>
      </c>
      <c r="M59" s="4" t="s">
        <v>71</v>
      </c>
      <c r="N59" s="2" t="n">
        <f aca="false">MAX(0.1,ROUNDUP(ROUND(I59,6)*10,0)/10)</f>
        <v>1</v>
      </c>
      <c r="O59" s="2" t="n">
        <f aca="false">MAX(0.1,ROUNDUP(ROUND(K59,6)*10,0)/10)</f>
        <v>1</v>
      </c>
      <c r="P59" s="2" t="str">
        <f aca="false">IF(N59&lt;&gt;O59,"yes","no")</f>
        <v>no</v>
      </c>
      <c r="Q59" s="2"/>
    </row>
    <row r="60" customFormat="false" ht="15" hidden="false" customHeight="false" outlineLevel="0" collapsed="false">
      <c r="A60" s="2" t="s">
        <v>596</v>
      </c>
      <c r="B60" s="2"/>
      <c r="C60" s="2" t="s">
        <v>594</v>
      </c>
      <c r="D60" s="2" t="s">
        <v>595</v>
      </c>
      <c r="E60" s="2" t="s">
        <v>393</v>
      </c>
      <c r="F60" s="2"/>
      <c r="G60" s="2"/>
      <c r="H60" s="2"/>
      <c r="I60" s="2" t="n">
        <v>1.891</v>
      </c>
      <c r="J60" s="2" t="n">
        <v>1.891</v>
      </c>
      <c r="K60" s="2" t="n">
        <v>1.891</v>
      </c>
      <c r="L60" s="2" t="n">
        <v>0.008</v>
      </c>
      <c r="M60" s="4" t="s">
        <v>71</v>
      </c>
      <c r="N60" s="2" t="n">
        <f aca="false">MAX(0.1,ROUNDUP(ROUND(I60,6)*10,0)/10)</f>
        <v>1.9</v>
      </c>
      <c r="O60" s="2" t="n">
        <f aca="false">MAX(0.1,ROUNDUP(ROUND(K60,6)*10,0)/10)</f>
        <v>1.9</v>
      </c>
      <c r="P60" s="2" t="str">
        <f aca="false">IF(N60&lt;&gt;O60,"yes","no")</f>
        <v>no</v>
      </c>
      <c r="Q60" s="2"/>
    </row>
    <row r="61" customFormat="false" ht="15" hidden="false" customHeight="false" outlineLevel="0" collapsed="false">
      <c r="A61" s="2" t="s">
        <v>597</v>
      </c>
      <c r="B61" s="2"/>
      <c r="C61" s="2" t="s">
        <v>594</v>
      </c>
      <c r="D61" s="2" t="s">
        <v>595</v>
      </c>
      <c r="E61" s="2" t="s">
        <v>393</v>
      </c>
      <c r="F61" s="2"/>
      <c r="G61" s="2"/>
      <c r="H61" s="2"/>
      <c r="I61" s="2" t="n">
        <v>2.272</v>
      </c>
      <c r="J61" s="2" t="n">
        <v>2.272</v>
      </c>
      <c r="K61" s="2" t="n">
        <v>2.272</v>
      </c>
      <c r="L61" s="2" t="n">
        <v>0.008</v>
      </c>
      <c r="M61" s="4" t="s">
        <v>71</v>
      </c>
      <c r="N61" s="2" t="n">
        <f aca="false">MAX(0.1,ROUNDUP(ROUND(I61,6)*10,0)/10)</f>
        <v>2.3</v>
      </c>
      <c r="O61" s="2" t="n">
        <f aca="false">MAX(0.1,ROUNDUP(ROUND(K61,6)*10,0)/10)</f>
        <v>2.3</v>
      </c>
      <c r="P61" s="2" t="str">
        <f aca="false">IF(N61&lt;&gt;O61,"yes","no")</f>
        <v>no</v>
      </c>
      <c r="Q61" s="2"/>
    </row>
    <row r="62" customFormat="false" ht="15" hidden="false" customHeight="false" outlineLevel="0" collapsed="false">
      <c r="A62" s="2" t="s">
        <v>598</v>
      </c>
      <c r="B62" s="2"/>
      <c r="C62" s="2" t="s">
        <v>594</v>
      </c>
      <c r="D62" s="2" t="s">
        <v>595</v>
      </c>
      <c r="E62" s="2" t="s">
        <v>393</v>
      </c>
      <c r="F62" s="2"/>
      <c r="G62" s="2"/>
      <c r="H62" s="2"/>
      <c r="I62" s="2" t="n">
        <v>2.388</v>
      </c>
      <c r="J62" s="2" t="n">
        <v>2.388</v>
      </c>
      <c r="K62" s="2" t="n">
        <v>2.388</v>
      </c>
      <c r="L62" s="2" t="n">
        <v>0.009</v>
      </c>
      <c r="M62" s="4" t="s">
        <v>71</v>
      </c>
      <c r="N62" s="2" t="n">
        <f aca="false">MAX(0.1,ROUNDUP(ROUND(I62,6)*10,0)/10)</f>
        <v>2.4</v>
      </c>
      <c r="O62" s="2" t="n">
        <f aca="false">MAX(0.1,ROUNDUP(ROUND(K62,6)*10,0)/10)</f>
        <v>2.4</v>
      </c>
      <c r="P62" s="2" t="str">
        <f aca="false">IF(N62&lt;&gt;O62,"yes","no")</f>
        <v>no</v>
      </c>
      <c r="Q62" s="2"/>
    </row>
    <row r="63" customFormat="false" ht="15" hidden="false" customHeight="false" outlineLevel="0" collapsed="false">
      <c r="A63" s="2" t="s">
        <v>599</v>
      </c>
      <c r="B63" s="2"/>
      <c r="C63" s="2" t="s">
        <v>594</v>
      </c>
      <c r="D63" s="2" t="s">
        <v>595</v>
      </c>
      <c r="E63" s="2" t="s">
        <v>393</v>
      </c>
      <c r="F63" s="2"/>
      <c r="G63" s="2"/>
      <c r="H63" s="2"/>
      <c r="I63" s="2" t="n">
        <v>2.389</v>
      </c>
      <c r="J63" s="2" t="n">
        <v>2.389</v>
      </c>
      <c r="K63" s="2" t="n">
        <v>2.389</v>
      </c>
      <c r="L63" s="2" t="n">
        <v>0.005</v>
      </c>
      <c r="M63" s="4" t="s">
        <v>71</v>
      </c>
      <c r="N63" s="2" t="n">
        <f aca="false">MAX(0.1,ROUNDUP(ROUND(I63,6)*10,0)/10)</f>
        <v>2.4</v>
      </c>
      <c r="O63" s="2" t="n">
        <f aca="false">MAX(0.1,ROUNDUP(ROUND(K63,6)*10,0)/10)</f>
        <v>2.4</v>
      </c>
      <c r="P63" s="2" t="str">
        <f aca="false">IF(N63&lt;&gt;O63,"yes","no")</f>
        <v>no</v>
      </c>
      <c r="Q63" s="2"/>
    </row>
    <row r="64" customFormat="false" ht="15" hidden="false" customHeight="false" outlineLevel="0" collapsed="false">
      <c r="A64" s="2" t="s">
        <v>600</v>
      </c>
      <c r="B64" s="2"/>
      <c r="C64" s="2" t="s">
        <v>594</v>
      </c>
      <c r="D64" s="2" t="s">
        <v>595</v>
      </c>
      <c r="E64" s="2" t="s">
        <v>393</v>
      </c>
      <c r="F64" s="2"/>
      <c r="G64" s="2"/>
      <c r="H64" s="2"/>
      <c r="I64" s="2" t="n">
        <v>2.436</v>
      </c>
      <c r="J64" s="2" t="n">
        <v>2.436</v>
      </c>
      <c r="K64" s="2" t="n">
        <v>2.436</v>
      </c>
      <c r="L64" s="2" t="n">
        <v>0.008</v>
      </c>
      <c r="M64" s="4" t="s">
        <v>71</v>
      </c>
      <c r="N64" s="2" t="n">
        <f aca="false">MAX(0.1,ROUNDUP(ROUND(I64,6)*10,0)/10)</f>
        <v>2.5</v>
      </c>
      <c r="O64" s="2" t="n">
        <f aca="false">MAX(0.1,ROUNDUP(ROUND(K64,6)*10,0)/10)</f>
        <v>2.5</v>
      </c>
      <c r="P64" s="2" t="str">
        <f aca="false">IF(N64&lt;&gt;O64,"yes","no")</f>
        <v>no</v>
      </c>
      <c r="Q64" s="2"/>
    </row>
    <row r="65" customFormat="false" ht="15" hidden="false" customHeight="false" outlineLevel="0" collapsed="false">
      <c r="A65" s="2" t="s">
        <v>601</v>
      </c>
      <c r="B65" s="2"/>
      <c r="C65" s="2" t="s">
        <v>594</v>
      </c>
      <c r="D65" s="2" t="s">
        <v>595</v>
      </c>
      <c r="E65" s="2" t="s">
        <v>393</v>
      </c>
      <c r="F65" s="2"/>
      <c r="G65" s="2"/>
      <c r="H65" s="2"/>
      <c r="I65" s="2" t="n">
        <v>2.441</v>
      </c>
      <c r="J65" s="2" t="n">
        <v>2.441</v>
      </c>
      <c r="K65" s="2" t="n">
        <v>2.441</v>
      </c>
      <c r="L65" s="2" t="n">
        <v>0.006</v>
      </c>
      <c r="M65" s="4" t="s">
        <v>71</v>
      </c>
      <c r="N65" s="2" t="n">
        <f aca="false">MAX(0.1,ROUNDUP(ROUND(I65,6)*10,0)/10)</f>
        <v>2.5</v>
      </c>
      <c r="O65" s="2" t="n">
        <f aca="false">MAX(0.1,ROUNDUP(ROUND(K65,6)*10,0)/10)</f>
        <v>2.5</v>
      </c>
      <c r="P65" s="2" t="str">
        <f aca="false">IF(N65&lt;&gt;O65,"yes","no")</f>
        <v>no</v>
      </c>
      <c r="Q65" s="2"/>
    </row>
    <row r="66" customFormat="false" ht="15" hidden="false" customHeight="false" outlineLevel="0" collapsed="false">
      <c r="A66" s="2" t="s">
        <v>602</v>
      </c>
      <c r="B66" s="2"/>
      <c r="C66" s="2" t="s">
        <v>594</v>
      </c>
      <c r="D66" s="2" t="s">
        <v>595</v>
      </c>
      <c r="E66" s="2" t="s">
        <v>393</v>
      </c>
      <c r="F66" s="2"/>
      <c r="G66" s="2"/>
      <c r="H66" s="2"/>
      <c r="I66" s="2" t="n">
        <v>2.465</v>
      </c>
      <c r="J66" s="2" t="n">
        <v>2.465</v>
      </c>
      <c r="K66" s="2" t="n">
        <v>2.465</v>
      </c>
      <c r="L66" s="2" t="n">
        <v>0.006</v>
      </c>
      <c r="M66" s="4" t="s">
        <v>71</v>
      </c>
      <c r="N66" s="2" t="n">
        <f aca="false">MAX(0.1,ROUNDUP(ROUND(I66,6)*10,0)/10)</f>
        <v>2.5</v>
      </c>
      <c r="O66" s="2" t="n">
        <f aca="false">MAX(0.1,ROUNDUP(ROUND(K66,6)*10,0)/10)</f>
        <v>2.5</v>
      </c>
      <c r="P66" s="2" t="str">
        <f aca="false">IF(N66&lt;&gt;O66,"yes","no")</f>
        <v>no</v>
      </c>
      <c r="Q66" s="2"/>
    </row>
    <row r="67" customFormat="false" ht="15" hidden="false" customHeight="false" outlineLevel="0" collapsed="false">
      <c r="A67" s="2" t="s">
        <v>603</v>
      </c>
      <c r="B67" s="2"/>
      <c r="C67" s="2" t="s">
        <v>594</v>
      </c>
      <c r="D67" s="2" t="s">
        <v>595</v>
      </c>
      <c r="E67" s="2" t="s">
        <v>393</v>
      </c>
      <c r="F67" s="2"/>
      <c r="G67" s="2"/>
      <c r="H67" s="2"/>
      <c r="I67" s="2" t="n">
        <v>2.642</v>
      </c>
      <c r="J67" s="2" t="n">
        <v>2.642</v>
      </c>
      <c r="K67" s="2" t="n">
        <v>2.642</v>
      </c>
      <c r="L67" s="2" t="n">
        <v>0.011</v>
      </c>
      <c r="M67" s="4" t="s">
        <v>71</v>
      </c>
      <c r="N67" s="2" t="n">
        <f aca="false">MAX(0.1,ROUNDUP(ROUND(I67,6)*10,0)/10)</f>
        <v>2.7</v>
      </c>
      <c r="O67" s="2" t="n">
        <f aca="false">MAX(0.1,ROUNDUP(ROUND(K67,6)*10,0)/10)</f>
        <v>2.7</v>
      </c>
      <c r="P67" s="2" t="str">
        <f aca="false">IF(N67&lt;&gt;O67,"yes","no")</f>
        <v>no</v>
      </c>
      <c r="Q67" s="2"/>
    </row>
    <row r="68" customFormat="false" ht="15" hidden="false" customHeight="false" outlineLevel="0" collapsed="false">
      <c r="A68" s="2" t="s">
        <v>604</v>
      </c>
      <c r="B68" s="2"/>
      <c r="C68" s="2" t="s">
        <v>594</v>
      </c>
      <c r="D68" s="2" t="s">
        <v>595</v>
      </c>
      <c r="E68" s="2" t="s">
        <v>393</v>
      </c>
      <c r="F68" s="2"/>
      <c r="G68" s="2"/>
      <c r="H68" s="2"/>
      <c r="I68" s="2" t="n">
        <v>2.705</v>
      </c>
      <c r="J68" s="2" t="n">
        <v>2.705</v>
      </c>
      <c r="K68" s="2" t="n">
        <v>2.705</v>
      </c>
      <c r="L68" s="2" t="n">
        <v>0.009</v>
      </c>
      <c r="M68" s="4" t="s">
        <v>71</v>
      </c>
      <c r="N68" s="2" t="n">
        <f aca="false">MAX(0.1,ROUNDUP(ROUND(I68,6)*10,0)/10)</f>
        <v>2.8</v>
      </c>
      <c r="O68" s="2" t="n">
        <f aca="false">MAX(0.1,ROUNDUP(ROUND(K68,6)*10,0)/10)</f>
        <v>2.8</v>
      </c>
      <c r="P68" s="2" t="str">
        <f aca="false">IF(N68&lt;&gt;O68,"yes","no")</f>
        <v>no</v>
      </c>
      <c r="Q68" s="2"/>
    </row>
    <row r="69" customFormat="false" ht="15" hidden="false" customHeight="false" outlineLevel="0" collapsed="false">
      <c r="A69" s="2" t="s">
        <v>605</v>
      </c>
      <c r="B69" s="2"/>
      <c r="C69" s="2" t="s">
        <v>594</v>
      </c>
      <c r="D69" s="2" t="s">
        <v>595</v>
      </c>
      <c r="E69" s="2" t="s">
        <v>393</v>
      </c>
      <c r="F69" s="2"/>
      <c r="G69" s="2"/>
      <c r="H69" s="2"/>
      <c r="I69" s="2" t="n">
        <v>2.811</v>
      </c>
      <c r="J69" s="2" t="n">
        <v>2.811</v>
      </c>
      <c r="K69" s="2" t="n">
        <v>2.811</v>
      </c>
      <c r="L69" s="2" t="n">
        <v>0.004</v>
      </c>
      <c r="M69" s="4" t="s">
        <v>71</v>
      </c>
      <c r="N69" s="2" t="n">
        <f aca="false">MAX(0.1,ROUNDUP(ROUND(I69,6)*10,0)/10)</f>
        <v>2.9</v>
      </c>
      <c r="O69" s="2" t="n">
        <f aca="false">MAX(0.1,ROUNDUP(ROUND(K69,6)*10,0)/10)</f>
        <v>2.9</v>
      </c>
      <c r="P69" s="2" t="str">
        <f aca="false">IF(N69&lt;&gt;O69,"yes","no")</f>
        <v>no</v>
      </c>
      <c r="Q69" s="2"/>
    </row>
    <row r="70" customFormat="false" ht="15" hidden="false" customHeight="false" outlineLevel="0" collapsed="false">
      <c r="A70" s="2" t="s">
        <v>606</v>
      </c>
      <c r="B70" s="2"/>
      <c r="C70" s="2" t="s">
        <v>594</v>
      </c>
      <c r="D70" s="2" t="s">
        <v>595</v>
      </c>
      <c r="E70" s="2" t="s">
        <v>393</v>
      </c>
      <c r="F70" s="2"/>
      <c r="G70" s="2"/>
      <c r="H70" s="2"/>
      <c r="I70" s="2" t="n">
        <v>3.017</v>
      </c>
      <c r="J70" s="2" t="n">
        <v>3.017</v>
      </c>
      <c r="K70" s="2" t="n">
        <v>3.017</v>
      </c>
      <c r="L70" s="2" t="n">
        <v>0.008</v>
      </c>
      <c r="M70" s="4" t="s">
        <v>71</v>
      </c>
      <c r="N70" s="2" t="n">
        <f aca="false">MAX(0.1,ROUNDUP(ROUND(I70,6)*10,0)/10)</f>
        <v>3.1</v>
      </c>
      <c r="O70" s="2" t="n">
        <f aca="false">MAX(0.1,ROUNDUP(ROUND(K70,6)*10,0)/10)</f>
        <v>3.1</v>
      </c>
      <c r="P70" s="2" t="str">
        <f aca="false">IF(N70&lt;&gt;O70,"yes","no")</f>
        <v>no</v>
      </c>
      <c r="Q70" s="2"/>
    </row>
    <row r="71" customFormat="false" ht="15" hidden="false" customHeight="false" outlineLevel="0" collapsed="false">
      <c r="A71" s="2" t="s">
        <v>607</v>
      </c>
      <c r="B71" s="2"/>
      <c r="C71" s="2" t="s">
        <v>594</v>
      </c>
      <c r="D71" s="2" t="s">
        <v>595</v>
      </c>
      <c r="E71" s="2" t="s">
        <v>393</v>
      </c>
      <c r="F71" s="2"/>
      <c r="G71" s="2"/>
      <c r="H71" s="2"/>
      <c r="I71" s="2" t="n">
        <v>3.089</v>
      </c>
      <c r="J71" s="2" t="n">
        <v>3.089</v>
      </c>
      <c r="K71" s="2" t="n">
        <v>3.089</v>
      </c>
      <c r="L71" s="2" t="n">
        <v>0.011</v>
      </c>
      <c r="M71" s="4" t="s">
        <v>71</v>
      </c>
      <c r="N71" s="2" t="n">
        <f aca="false">MAX(0.1,ROUNDUP(ROUND(I71,6)*10,0)/10)</f>
        <v>3.1</v>
      </c>
      <c r="O71" s="2" t="n">
        <f aca="false">MAX(0.1,ROUNDUP(ROUND(K71,6)*10,0)/10)</f>
        <v>3.1</v>
      </c>
      <c r="P71" s="2" t="str">
        <f aca="false">IF(N71&lt;&gt;O71,"yes","no")</f>
        <v>no</v>
      </c>
      <c r="Q71" s="2"/>
    </row>
    <row r="72" customFormat="false" ht="15" hidden="false" customHeight="false" outlineLevel="0" collapsed="false">
      <c r="A72" s="2" t="s">
        <v>608</v>
      </c>
      <c r="B72" s="2"/>
      <c r="C72" s="2" t="s">
        <v>594</v>
      </c>
      <c r="D72" s="2" t="s">
        <v>595</v>
      </c>
      <c r="E72" s="2" t="s">
        <v>393</v>
      </c>
      <c r="F72" s="2"/>
      <c r="G72" s="2"/>
      <c r="H72" s="2"/>
      <c r="I72" s="2" t="n">
        <v>3.13</v>
      </c>
      <c r="J72" s="2" t="n">
        <v>3.13</v>
      </c>
      <c r="K72" s="2" t="n">
        <v>3.13</v>
      </c>
      <c r="L72" s="2" t="n">
        <v>0.01</v>
      </c>
      <c r="M72" s="4" t="s">
        <v>71</v>
      </c>
      <c r="N72" s="2" t="n">
        <f aca="false">MAX(0.1,ROUNDUP(ROUND(I72,6)*10,0)/10)</f>
        <v>3.2</v>
      </c>
      <c r="O72" s="2" t="n">
        <f aca="false">MAX(0.1,ROUNDUP(ROUND(K72,6)*10,0)/10)</f>
        <v>3.2</v>
      </c>
      <c r="P72" s="2" t="str">
        <f aca="false">IF(N72&lt;&gt;O72,"yes","no")</f>
        <v>no</v>
      </c>
      <c r="Q72" s="2"/>
    </row>
    <row r="73" customFormat="false" ht="15" hidden="false" customHeight="false" outlineLevel="0" collapsed="false">
      <c r="A73" s="2" t="s">
        <v>609</v>
      </c>
      <c r="B73" s="2"/>
      <c r="C73" s="2" t="s">
        <v>594</v>
      </c>
      <c r="D73" s="2" t="s">
        <v>595</v>
      </c>
      <c r="E73" s="2" t="s">
        <v>393</v>
      </c>
      <c r="F73" s="2"/>
      <c r="G73" s="2"/>
      <c r="H73" s="2"/>
      <c r="I73" s="2" t="n">
        <v>3.141</v>
      </c>
      <c r="J73" s="2" t="n">
        <v>3.141</v>
      </c>
      <c r="K73" s="2" t="n">
        <v>3.141</v>
      </c>
      <c r="L73" s="2" t="n">
        <v>0.033</v>
      </c>
      <c r="M73" s="4" t="s">
        <v>71</v>
      </c>
      <c r="N73" s="2" t="n">
        <f aca="false">MAX(0.1,ROUNDUP(ROUND(I73,6)*10,0)/10)</f>
        <v>3.2</v>
      </c>
      <c r="O73" s="2" t="n">
        <f aca="false">MAX(0.1,ROUNDUP(ROUND(K73,6)*10,0)/10)</f>
        <v>3.2</v>
      </c>
      <c r="P73" s="2" t="str">
        <f aca="false">IF(N73&lt;&gt;O73,"yes","no")</f>
        <v>no</v>
      </c>
      <c r="Q73" s="2"/>
    </row>
    <row r="74" customFormat="false" ht="15" hidden="false" customHeight="false" outlineLevel="0" collapsed="false">
      <c r="A74" s="2" t="s">
        <v>610</v>
      </c>
      <c r="B74" s="2"/>
      <c r="C74" s="2" t="s">
        <v>594</v>
      </c>
      <c r="D74" s="2" t="s">
        <v>595</v>
      </c>
      <c r="E74" s="2" t="s">
        <v>393</v>
      </c>
      <c r="F74" s="2"/>
      <c r="G74" s="2"/>
      <c r="H74" s="2"/>
      <c r="I74" s="2" t="n">
        <v>3.151</v>
      </c>
      <c r="J74" s="2" t="n">
        <v>3.151</v>
      </c>
      <c r="K74" s="2" t="n">
        <v>3.151</v>
      </c>
      <c r="L74" s="2" t="n">
        <v>0.009</v>
      </c>
      <c r="M74" s="4" t="s">
        <v>71</v>
      </c>
      <c r="N74" s="2" t="n">
        <f aca="false">MAX(0.1,ROUNDUP(ROUND(I74,6)*10,0)/10)</f>
        <v>3.2</v>
      </c>
      <c r="O74" s="2" t="n">
        <f aca="false">MAX(0.1,ROUNDUP(ROUND(K74,6)*10,0)/10)</f>
        <v>3.2</v>
      </c>
      <c r="P74" s="2" t="str">
        <f aca="false">IF(N74&lt;&gt;O74,"yes","no")</f>
        <v>no</v>
      </c>
      <c r="Q74" s="2"/>
    </row>
    <row r="75" customFormat="false" ht="15" hidden="false" customHeight="false" outlineLevel="0" collapsed="false">
      <c r="A75" s="2" t="s">
        <v>611</v>
      </c>
      <c r="B75" s="2"/>
      <c r="C75" s="2" t="s">
        <v>594</v>
      </c>
      <c r="D75" s="2" t="s">
        <v>595</v>
      </c>
      <c r="E75" s="2" t="s">
        <v>393</v>
      </c>
      <c r="F75" s="2"/>
      <c r="G75" s="2"/>
      <c r="H75" s="2"/>
      <c r="I75" s="2" t="n">
        <v>3.153</v>
      </c>
      <c r="J75" s="2" t="n">
        <v>3.153</v>
      </c>
      <c r="K75" s="2" t="n">
        <v>3.153</v>
      </c>
      <c r="L75" s="2" t="n">
        <v>0.007</v>
      </c>
      <c r="M75" s="4" t="s">
        <v>71</v>
      </c>
      <c r="N75" s="2" t="n">
        <f aca="false">MAX(0.1,ROUNDUP(ROUND(I75,6)*10,0)/10)</f>
        <v>3.2</v>
      </c>
      <c r="O75" s="2" t="n">
        <f aca="false">MAX(0.1,ROUNDUP(ROUND(K75,6)*10,0)/10)</f>
        <v>3.2</v>
      </c>
      <c r="P75" s="2" t="str">
        <f aca="false">IF(N75&lt;&gt;O75,"yes","no")</f>
        <v>no</v>
      </c>
      <c r="Q75" s="2"/>
    </row>
    <row r="76" customFormat="false" ht="15" hidden="false" customHeight="false" outlineLevel="0" collapsed="false">
      <c r="A76" s="2" t="s">
        <v>612</v>
      </c>
      <c r="B76" s="2"/>
      <c r="C76" s="2" t="s">
        <v>594</v>
      </c>
      <c r="D76" s="2" t="s">
        <v>595</v>
      </c>
      <c r="E76" s="2" t="s">
        <v>393</v>
      </c>
      <c r="F76" s="2"/>
      <c r="G76" s="2"/>
      <c r="H76" s="2"/>
      <c r="I76" s="2" t="n">
        <v>3.372</v>
      </c>
      <c r="J76" s="2" t="n">
        <v>3.372</v>
      </c>
      <c r="K76" s="2" t="n">
        <v>3.372</v>
      </c>
      <c r="L76" s="2" t="n">
        <v>0.012</v>
      </c>
      <c r="M76" s="4" t="s">
        <v>71</v>
      </c>
      <c r="N76" s="2" t="n">
        <f aca="false">MAX(0.1,ROUNDUP(ROUND(I76,6)*10,0)/10)</f>
        <v>3.4</v>
      </c>
      <c r="O76" s="2" t="n">
        <f aca="false">MAX(0.1,ROUNDUP(ROUND(K76,6)*10,0)/10)</f>
        <v>3.4</v>
      </c>
      <c r="P76" s="2" t="str">
        <f aca="false">IF(N76&lt;&gt;O76,"yes","no")</f>
        <v>no</v>
      </c>
      <c r="Q76" s="2"/>
    </row>
    <row r="77" customFormat="false" ht="15" hidden="false" customHeight="false" outlineLevel="0" collapsed="false">
      <c r="A77" s="2" t="s">
        <v>613</v>
      </c>
      <c r="B77" s="2"/>
      <c r="C77" s="2" t="s">
        <v>594</v>
      </c>
      <c r="D77" s="2" t="s">
        <v>595</v>
      </c>
      <c r="E77" s="2" t="s">
        <v>393</v>
      </c>
      <c r="F77" s="2"/>
      <c r="G77" s="2"/>
      <c r="H77" s="2"/>
      <c r="I77" s="2" t="n">
        <v>2.342</v>
      </c>
      <c r="J77" s="2" t="n">
        <v>2.342</v>
      </c>
      <c r="K77" s="2" t="n">
        <v>2.342</v>
      </c>
      <c r="L77" s="2" t="n">
        <v>0.004</v>
      </c>
      <c r="M77" s="4" t="s">
        <v>71</v>
      </c>
      <c r="N77" s="2" t="n">
        <f aca="false">MAX(0.1,ROUNDUP(ROUND(I77,6)*10,0)/10)</f>
        <v>2.4</v>
      </c>
      <c r="O77" s="2" t="n">
        <f aca="false">MAX(0.1,ROUNDUP(ROUND(K77,6)*10,0)/10)</f>
        <v>2.4</v>
      </c>
      <c r="P77" s="2" t="str">
        <f aca="false">IF(N77&lt;&gt;O77,"yes","no")</f>
        <v>no</v>
      </c>
      <c r="Q77" s="2"/>
    </row>
    <row r="78" customFormat="false" ht="15" hidden="false" customHeight="false" outlineLevel="0" collapsed="false">
      <c r="A78" s="2" t="s">
        <v>614</v>
      </c>
      <c r="B78" s="2"/>
      <c r="C78" s="2" t="s">
        <v>594</v>
      </c>
      <c r="D78" s="2" t="s">
        <v>595</v>
      </c>
      <c r="E78" s="2" t="s">
        <v>393</v>
      </c>
      <c r="F78" s="2"/>
      <c r="G78" s="2"/>
      <c r="H78" s="2"/>
      <c r="I78" s="2" t="n">
        <v>2.319</v>
      </c>
      <c r="J78" s="2" t="n">
        <v>2.319</v>
      </c>
      <c r="K78" s="2" t="n">
        <v>2.319</v>
      </c>
      <c r="L78" s="2" t="n">
        <v>0.007</v>
      </c>
      <c r="M78" s="4" t="s">
        <v>71</v>
      </c>
      <c r="N78" s="2" t="n">
        <f aca="false">MAX(0.1,ROUNDUP(ROUND(I78,6)*10,0)/10)</f>
        <v>2.4</v>
      </c>
      <c r="O78" s="2" t="n">
        <f aca="false">MAX(0.1,ROUNDUP(ROUND(K78,6)*10,0)/10)</f>
        <v>2.4</v>
      </c>
      <c r="P78" s="2" t="str">
        <f aca="false">IF(N78&lt;&gt;O78,"yes","no")</f>
        <v>no</v>
      </c>
      <c r="Q78" s="2"/>
    </row>
    <row r="79" customFormat="false" ht="15" hidden="false" customHeight="false" outlineLevel="0" collapsed="false">
      <c r="A79" s="2" t="s">
        <v>615</v>
      </c>
      <c r="B79" s="2"/>
      <c r="C79" s="2" t="s">
        <v>594</v>
      </c>
      <c r="D79" s="2" t="s">
        <v>595</v>
      </c>
      <c r="E79" s="2" t="s">
        <v>393</v>
      </c>
      <c r="F79" s="2"/>
      <c r="G79" s="2"/>
      <c r="H79" s="2"/>
      <c r="I79" s="2" t="n">
        <v>1.96</v>
      </c>
      <c r="J79" s="2" t="n">
        <v>1.96</v>
      </c>
      <c r="K79" s="2" t="n">
        <v>1.96</v>
      </c>
      <c r="L79" s="2" t="n">
        <v>0.004</v>
      </c>
      <c r="M79" s="4" t="s">
        <v>71</v>
      </c>
      <c r="N79" s="2" t="n">
        <f aca="false">MAX(0.1,ROUNDUP(ROUND(I79,6)*10,0)/10)</f>
        <v>2</v>
      </c>
      <c r="O79" s="2" t="n">
        <f aca="false">MAX(0.1,ROUNDUP(ROUND(K79,6)*10,0)/10)</f>
        <v>2</v>
      </c>
      <c r="P79" s="2" t="str">
        <f aca="false">IF(N79&lt;&gt;O79,"yes","no")</f>
        <v>no</v>
      </c>
      <c r="Q79" s="2"/>
    </row>
    <row r="80" customFormat="false" ht="15" hidden="false" customHeight="false" outlineLevel="0" collapsed="false">
      <c r="A80" s="2" t="s">
        <v>616</v>
      </c>
      <c r="B80" s="2" t="s">
        <v>617</v>
      </c>
      <c r="C80" s="2" t="s">
        <v>618</v>
      </c>
      <c r="D80" s="2" t="s">
        <v>619</v>
      </c>
      <c r="E80" s="2" t="s">
        <v>393</v>
      </c>
      <c r="F80" s="2"/>
      <c r="G80" s="2"/>
      <c r="H80" s="2"/>
      <c r="I80" s="2" t="n">
        <v>2.617</v>
      </c>
      <c r="J80" s="2" t="n">
        <v>2.617</v>
      </c>
      <c r="K80" s="2" t="n">
        <v>2.617</v>
      </c>
      <c r="L80" s="2" t="n">
        <v>0.007</v>
      </c>
      <c r="M80" s="4" t="s">
        <v>71</v>
      </c>
      <c r="N80" s="2" t="n">
        <f aca="false">MAX(0.1,ROUNDUP(ROUND(I80,6)*10,0)/10)</f>
        <v>2.7</v>
      </c>
      <c r="O80" s="2" t="n">
        <f aca="false">MAX(0.1,ROUNDUP(ROUND(K80,6)*10,0)/10)</f>
        <v>2.7</v>
      </c>
      <c r="P80" s="2" t="str">
        <f aca="false">IF(N80&lt;&gt;O80,"yes","no")</f>
        <v>no</v>
      </c>
      <c r="Q80" s="2"/>
    </row>
    <row r="81" customFormat="false" ht="15" hidden="false" customHeight="false" outlineLevel="0" collapsed="false">
      <c r="A81" s="2" t="s">
        <v>620</v>
      </c>
      <c r="B81" s="2" t="s">
        <v>621</v>
      </c>
      <c r="C81" s="2" t="s">
        <v>618</v>
      </c>
      <c r="D81" s="2" t="s">
        <v>619</v>
      </c>
      <c r="E81" s="2" t="s">
        <v>393</v>
      </c>
      <c r="F81" s="2"/>
      <c r="G81" s="2"/>
      <c r="H81" s="2"/>
      <c r="I81" s="2" t="n">
        <v>3.676</v>
      </c>
      <c r="J81" s="2" t="n">
        <v>3.676</v>
      </c>
      <c r="K81" s="2" t="n">
        <v>3.676</v>
      </c>
      <c r="L81" s="2" t="n">
        <v>0.007</v>
      </c>
      <c r="M81" s="4" t="s">
        <v>71</v>
      </c>
      <c r="N81" s="2" t="n">
        <f aca="false">MAX(0.1,ROUNDUP(ROUND(I81,6)*10,0)/10)</f>
        <v>3.7</v>
      </c>
      <c r="O81" s="2" t="n">
        <f aca="false">MAX(0.1,ROUNDUP(ROUND(K81,6)*10,0)/10)</f>
        <v>3.7</v>
      </c>
      <c r="P81" s="2" t="str">
        <f aca="false">IF(N81&lt;&gt;O81,"yes","no")</f>
        <v>no</v>
      </c>
      <c r="Q81" s="2"/>
    </row>
    <row r="82" customFormat="false" ht="15" hidden="false" customHeight="false" outlineLevel="0" collapsed="false">
      <c r="A82" s="2" t="s">
        <v>622</v>
      </c>
      <c r="B82" s="2" t="s">
        <v>621</v>
      </c>
      <c r="C82" s="2" t="s">
        <v>618</v>
      </c>
      <c r="D82" s="2" t="s">
        <v>619</v>
      </c>
      <c r="E82" s="2" t="s">
        <v>393</v>
      </c>
      <c r="F82" s="2"/>
      <c r="G82" s="2"/>
      <c r="H82" s="2"/>
      <c r="I82" s="2" t="n">
        <v>3.745</v>
      </c>
      <c r="J82" s="2" t="n">
        <v>3.745</v>
      </c>
      <c r="K82" s="2" t="n">
        <v>3.745</v>
      </c>
      <c r="L82" s="2" t="n">
        <v>0.006</v>
      </c>
      <c r="M82" s="4" t="s">
        <v>71</v>
      </c>
      <c r="N82" s="2" t="n">
        <f aca="false">MAX(0.1,ROUNDUP(ROUND(I82,6)*10,0)/10)</f>
        <v>3.8</v>
      </c>
      <c r="O82" s="2" t="n">
        <f aca="false">MAX(0.1,ROUNDUP(ROUND(K82,6)*10,0)/10)</f>
        <v>3.8</v>
      </c>
      <c r="P82" s="2" t="str">
        <f aca="false">IF(N82&lt;&gt;O82,"yes","no")</f>
        <v>no</v>
      </c>
      <c r="Q82" s="2"/>
    </row>
    <row r="83" customFormat="false" ht="15" hidden="false" customHeight="false" outlineLevel="0" collapsed="false">
      <c r="A83" s="2" t="s">
        <v>623</v>
      </c>
      <c r="B83" s="2" t="s">
        <v>621</v>
      </c>
      <c r="C83" s="2" t="s">
        <v>618</v>
      </c>
      <c r="D83" s="2" t="s">
        <v>619</v>
      </c>
      <c r="E83" s="2" t="s">
        <v>393</v>
      </c>
      <c r="F83" s="2"/>
      <c r="G83" s="2"/>
      <c r="H83" s="2"/>
      <c r="I83" s="2" t="n">
        <v>4.042</v>
      </c>
      <c r="J83" s="2" t="n">
        <v>4.042</v>
      </c>
      <c r="K83" s="2" t="n">
        <v>4.042</v>
      </c>
      <c r="L83" s="2" t="n">
        <v>0.018</v>
      </c>
      <c r="M83" s="4" t="s">
        <v>71</v>
      </c>
      <c r="N83" s="2" t="n">
        <f aca="false">MAX(0.1,ROUNDUP(ROUND(I83,6)*10,0)/10)</f>
        <v>4.1</v>
      </c>
      <c r="O83" s="2" t="n">
        <f aca="false">MAX(0.1,ROUNDUP(ROUND(K83,6)*10,0)/10)</f>
        <v>4.1</v>
      </c>
      <c r="P83" s="2" t="str">
        <f aca="false">IF(N83&lt;&gt;O83,"yes","no")</f>
        <v>no</v>
      </c>
      <c r="Q83" s="2"/>
    </row>
    <row r="84" customFormat="false" ht="15" hidden="false" customHeight="false" outlineLevel="0" collapsed="false">
      <c r="A84" s="2" t="s">
        <v>624</v>
      </c>
      <c r="B84" s="2" t="s">
        <v>621</v>
      </c>
      <c r="C84" s="2" t="s">
        <v>618</v>
      </c>
      <c r="D84" s="2" t="s">
        <v>619</v>
      </c>
      <c r="E84" s="2" t="s">
        <v>393</v>
      </c>
      <c r="F84" s="2"/>
      <c r="G84" s="2"/>
      <c r="H84" s="2"/>
      <c r="I84" s="2" t="n">
        <v>4.141</v>
      </c>
      <c r="J84" s="2" t="n">
        <v>4.141</v>
      </c>
      <c r="K84" s="2" t="n">
        <v>4.141</v>
      </c>
      <c r="L84" s="2" t="n">
        <v>0.007</v>
      </c>
      <c r="M84" s="4" t="s">
        <v>71</v>
      </c>
      <c r="N84" s="2" t="n">
        <f aca="false">MAX(0.1,ROUNDUP(ROUND(I84,6)*10,0)/10)</f>
        <v>4.2</v>
      </c>
      <c r="O84" s="2" t="n">
        <f aca="false">MAX(0.1,ROUNDUP(ROUND(K84,6)*10,0)/10)</f>
        <v>4.2</v>
      </c>
      <c r="P84" s="2" t="str">
        <f aca="false">IF(N84&lt;&gt;O84,"yes","no")</f>
        <v>no</v>
      </c>
      <c r="Q84" s="2"/>
    </row>
    <row r="85" customFormat="false" ht="15" hidden="false" customHeight="false" outlineLevel="0" collapsed="false">
      <c r="A85" s="2" t="s">
        <v>625</v>
      </c>
      <c r="B85" s="2" t="s">
        <v>621</v>
      </c>
      <c r="C85" s="2" t="s">
        <v>618</v>
      </c>
      <c r="D85" s="2" t="s">
        <v>619</v>
      </c>
      <c r="E85" s="2" t="s">
        <v>393</v>
      </c>
      <c r="F85" s="2"/>
      <c r="G85" s="2"/>
      <c r="H85" s="2"/>
      <c r="I85" s="2" t="n">
        <v>4.255</v>
      </c>
      <c r="J85" s="2" t="n">
        <v>4.255</v>
      </c>
      <c r="K85" s="2" t="n">
        <v>4.255</v>
      </c>
      <c r="L85" s="2" t="n">
        <v>0.023</v>
      </c>
      <c r="M85" s="4" t="s">
        <v>71</v>
      </c>
      <c r="N85" s="2" t="n">
        <f aca="false">MAX(0.1,ROUNDUP(ROUND(I85,6)*10,0)/10)</f>
        <v>4.3</v>
      </c>
      <c r="O85" s="2" t="n">
        <f aca="false">MAX(0.1,ROUNDUP(ROUND(K85,6)*10,0)/10)</f>
        <v>4.3</v>
      </c>
      <c r="P85" s="2" t="str">
        <f aca="false">IF(N85&lt;&gt;O85,"yes","no")</f>
        <v>no</v>
      </c>
      <c r="Q85" s="2"/>
    </row>
    <row r="86" customFormat="false" ht="15" hidden="false" customHeight="false" outlineLevel="0" collapsed="false">
      <c r="A86" s="2" t="s">
        <v>626</v>
      </c>
      <c r="B86" s="2" t="s">
        <v>621</v>
      </c>
      <c r="C86" s="2" t="s">
        <v>618</v>
      </c>
      <c r="D86" s="2" t="s">
        <v>619</v>
      </c>
      <c r="E86" s="2" t="s">
        <v>393</v>
      </c>
      <c r="F86" s="2"/>
      <c r="G86" s="2"/>
      <c r="H86" s="2"/>
      <c r="I86" s="2" t="n">
        <v>4.175</v>
      </c>
      <c r="J86" s="2" t="n">
        <v>4.175</v>
      </c>
      <c r="K86" s="2" t="n">
        <v>4.175</v>
      </c>
      <c r="L86" s="2" t="n">
        <v>0.007</v>
      </c>
      <c r="M86" s="4" t="s">
        <v>71</v>
      </c>
      <c r="N86" s="2" t="n">
        <f aca="false">MAX(0.1,ROUNDUP(ROUND(I86,6)*10,0)/10)</f>
        <v>4.2</v>
      </c>
      <c r="O86" s="2" t="n">
        <f aca="false">MAX(0.1,ROUNDUP(ROUND(K86,6)*10,0)/10)</f>
        <v>4.2</v>
      </c>
      <c r="P86" s="2" t="str">
        <f aca="false">IF(N86&lt;&gt;O86,"yes","no")</f>
        <v>no</v>
      </c>
      <c r="Q86" s="2"/>
    </row>
    <row r="87" customFormat="false" ht="15" hidden="false" customHeight="false" outlineLevel="0" collapsed="false">
      <c r="A87" s="2" t="s">
        <v>627</v>
      </c>
      <c r="B87" s="2" t="s">
        <v>621</v>
      </c>
      <c r="C87" s="2" t="s">
        <v>618</v>
      </c>
      <c r="D87" s="2" t="s">
        <v>619</v>
      </c>
      <c r="E87" s="2" t="s">
        <v>393</v>
      </c>
      <c r="F87" s="2"/>
      <c r="G87" s="2"/>
      <c r="H87" s="2"/>
      <c r="I87" s="2" t="n">
        <v>4.147</v>
      </c>
      <c r="J87" s="2" t="n">
        <v>4.147</v>
      </c>
      <c r="K87" s="2" t="n">
        <v>4.147</v>
      </c>
      <c r="L87" s="2" t="n">
        <v>0.007</v>
      </c>
      <c r="M87" s="4" t="s">
        <v>71</v>
      </c>
      <c r="N87" s="2" t="n">
        <f aca="false">MAX(0.1,ROUNDUP(ROUND(I87,6)*10,0)/10)</f>
        <v>4.2</v>
      </c>
      <c r="O87" s="2" t="n">
        <f aca="false">MAX(0.1,ROUNDUP(ROUND(K87,6)*10,0)/10)</f>
        <v>4.2</v>
      </c>
      <c r="P87" s="2" t="str">
        <f aca="false">IF(N87&lt;&gt;O87,"yes","no")</f>
        <v>no</v>
      </c>
      <c r="Q87" s="2"/>
    </row>
    <row r="88" customFormat="false" ht="15" hidden="false" customHeight="false" outlineLevel="0" collapsed="false">
      <c r="A88" s="2" t="s">
        <v>628</v>
      </c>
      <c r="B88" s="2" t="s">
        <v>629</v>
      </c>
      <c r="C88" s="2" t="s">
        <v>618</v>
      </c>
      <c r="D88" s="2" t="s">
        <v>619</v>
      </c>
      <c r="E88" s="2" t="s">
        <v>393</v>
      </c>
      <c r="F88" s="2"/>
      <c r="G88" s="2"/>
      <c r="H88" s="2"/>
      <c r="I88" s="2" t="n">
        <v>1.017</v>
      </c>
      <c r="J88" s="2" t="n">
        <v>1.017</v>
      </c>
      <c r="K88" s="2" t="n">
        <v>1.017</v>
      </c>
      <c r="L88" s="2" t="n">
        <v>0.004</v>
      </c>
      <c r="M88" s="4" t="s">
        <v>71</v>
      </c>
      <c r="N88" s="2" t="n">
        <f aca="false">MAX(0.1,ROUNDUP(ROUND(I88,6)*10,0)/10)</f>
        <v>1.1</v>
      </c>
      <c r="O88" s="2" t="n">
        <f aca="false">MAX(0.1,ROUNDUP(ROUND(K88,6)*10,0)/10)</f>
        <v>1.1</v>
      </c>
      <c r="P88" s="2" t="str">
        <f aca="false">IF(N88&lt;&gt;O88,"yes","no")</f>
        <v>no</v>
      </c>
      <c r="Q88" s="2"/>
    </row>
    <row r="89" customFormat="false" ht="15" hidden="false" customHeight="false" outlineLevel="0" collapsed="false">
      <c r="A89" s="2" t="s">
        <v>630</v>
      </c>
      <c r="B89" s="2" t="s">
        <v>631</v>
      </c>
      <c r="C89" s="2" t="s">
        <v>618</v>
      </c>
      <c r="D89" s="2" t="s">
        <v>619</v>
      </c>
      <c r="E89" s="2" t="s">
        <v>393</v>
      </c>
      <c r="F89" s="2"/>
      <c r="G89" s="2"/>
      <c r="H89" s="2"/>
      <c r="I89" s="2" t="n">
        <v>4.162</v>
      </c>
      <c r="J89" s="2" t="n">
        <v>4.162</v>
      </c>
      <c r="K89" s="2" t="n">
        <v>4.162</v>
      </c>
      <c r="L89" s="2" t="n">
        <v>0.012</v>
      </c>
      <c r="M89" s="4" t="s">
        <v>71</v>
      </c>
      <c r="N89" s="2" t="n">
        <f aca="false">MAX(0.1,ROUNDUP(ROUND(I89,6)*10,0)/10)</f>
        <v>4.2</v>
      </c>
      <c r="O89" s="2" t="n">
        <f aca="false">MAX(0.1,ROUNDUP(ROUND(K89,6)*10,0)/10)</f>
        <v>4.2</v>
      </c>
      <c r="P89" s="2" t="str">
        <f aca="false">IF(N89&lt;&gt;O89,"yes","no")</f>
        <v>no</v>
      </c>
      <c r="Q89" s="2"/>
    </row>
    <row r="90" customFormat="false" ht="15" hidden="false" customHeight="false" outlineLevel="0" collapsed="false">
      <c r="A90" s="2" t="s">
        <v>632</v>
      </c>
      <c r="B90" s="2" t="s">
        <v>631</v>
      </c>
      <c r="C90" s="2" t="s">
        <v>618</v>
      </c>
      <c r="D90" s="2" t="s">
        <v>633</v>
      </c>
      <c r="E90" s="2" t="s">
        <v>257</v>
      </c>
      <c r="F90" s="2" t="n">
        <v>4140</v>
      </c>
      <c r="G90" s="2" t="n">
        <v>30</v>
      </c>
      <c r="H90" s="2" t="n">
        <v>-204.33</v>
      </c>
      <c r="I90" s="2" t="n">
        <v>4.289</v>
      </c>
      <c r="J90" s="2" t="n">
        <v>4.289</v>
      </c>
      <c r="K90" s="2" t="n">
        <v>4.289</v>
      </c>
      <c r="L90" s="2" t="n">
        <v>0.18</v>
      </c>
      <c r="M90" s="4" t="s">
        <v>71</v>
      </c>
      <c r="N90" s="2" t="n">
        <f aca="false">MAX(0.1,ROUNDUP(ROUND(I90,6)*10,0)/10)</f>
        <v>4.3</v>
      </c>
      <c r="O90" s="2" t="n">
        <f aca="false">MAX(0.1,ROUNDUP(ROUND(K90,6)*10,0)/10)</f>
        <v>4.3</v>
      </c>
      <c r="P90" s="2" t="str">
        <f aca="false">IF(N90&lt;&gt;O90,"yes","no")</f>
        <v>no</v>
      </c>
      <c r="Q90" s="2"/>
    </row>
    <row r="91" customFormat="false" ht="15" hidden="false" customHeight="false" outlineLevel="0" collapsed="false">
      <c r="A91" s="2" t="s">
        <v>634</v>
      </c>
      <c r="B91" s="2" t="s">
        <v>631</v>
      </c>
      <c r="C91" s="2" t="s">
        <v>618</v>
      </c>
      <c r="D91" s="2" t="s">
        <v>633</v>
      </c>
      <c r="E91" s="2" t="s">
        <v>257</v>
      </c>
      <c r="F91" s="2" t="n">
        <v>4090</v>
      </c>
      <c r="G91" s="2" t="n">
        <v>20</v>
      </c>
      <c r="H91" s="2" t="n">
        <v>-198.58</v>
      </c>
      <c r="I91" s="2" t="n">
        <v>4.216</v>
      </c>
      <c r="J91" s="2" t="n">
        <v>4.216</v>
      </c>
      <c r="K91" s="2" t="n">
        <v>4.216</v>
      </c>
      <c r="L91" s="2" t="n">
        <v>0.1705</v>
      </c>
      <c r="M91" s="4" t="s">
        <v>71</v>
      </c>
      <c r="N91" s="2" t="n">
        <f aca="false">MAX(0.1,ROUNDUP(ROUND(I91,6)*10,0)/10)</f>
        <v>4.3</v>
      </c>
      <c r="O91" s="2" t="n">
        <f aca="false">MAX(0.1,ROUNDUP(ROUND(K91,6)*10,0)/10)</f>
        <v>4.3</v>
      </c>
      <c r="P91" s="2" t="str">
        <f aca="false">IF(N91&lt;&gt;O91,"yes","no")</f>
        <v>no</v>
      </c>
      <c r="Q91" s="2"/>
    </row>
    <row r="92" customFormat="false" ht="15" hidden="false" customHeight="false" outlineLevel="0" collapsed="false">
      <c r="A92" s="2" t="s">
        <v>635</v>
      </c>
      <c r="B92" s="2" t="s">
        <v>631</v>
      </c>
      <c r="C92" s="2" t="s">
        <v>618</v>
      </c>
      <c r="D92" s="2" t="s">
        <v>633</v>
      </c>
      <c r="E92" s="2" t="s">
        <v>257</v>
      </c>
      <c r="F92" s="2" t="n">
        <v>4215</v>
      </c>
      <c r="G92" s="2" t="n">
        <v>25</v>
      </c>
      <c r="H92" s="2" t="n">
        <v>-211.79</v>
      </c>
      <c r="I92" s="2" t="n">
        <v>4.396</v>
      </c>
      <c r="J92" s="2" t="n">
        <v>4.396</v>
      </c>
      <c r="K92" s="2" t="n">
        <v>4.396</v>
      </c>
      <c r="L92" s="2" t="n">
        <v>0.1765</v>
      </c>
      <c r="M92" s="4" t="s">
        <v>71</v>
      </c>
      <c r="N92" s="2" t="n">
        <f aca="false">MAX(0.1,ROUNDUP(ROUND(I92,6)*10,0)/10)</f>
        <v>4.4</v>
      </c>
      <c r="O92" s="2" t="n">
        <f aca="false">MAX(0.1,ROUNDUP(ROUND(K92,6)*10,0)/10)</f>
        <v>4.4</v>
      </c>
      <c r="P92" s="2" t="str">
        <f aca="false">IF(N92&lt;&gt;O92,"yes","no")</f>
        <v>no</v>
      </c>
      <c r="Q92" s="2"/>
    </row>
    <row r="93" customFormat="false" ht="15" hidden="false" customHeight="false" outlineLevel="0" collapsed="false">
      <c r="A93" s="2" t="s">
        <v>636</v>
      </c>
      <c r="B93" s="2" t="s">
        <v>631</v>
      </c>
      <c r="C93" s="2" t="s">
        <v>618</v>
      </c>
      <c r="D93" s="2" t="s">
        <v>633</v>
      </c>
      <c r="E93" s="2" t="s">
        <v>257</v>
      </c>
      <c r="F93" s="2" t="n">
        <v>4100</v>
      </c>
      <c r="G93" s="2" t="n">
        <v>20</v>
      </c>
      <c r="H93" s="2" t="n">
        <v>-199.77</v>
      </c>
      <c r="I93" s="2" t="n">
        <v>4.232</v>
      </c>
      <c r="J93" s="2" t="n">
        <v>4.232</v>
      </c>
      <c r="K93" s="2" t="n">
        <v>4.232</v>
      </c>
      <c r="L93" s="2" t="n">
        <v>0.1665</v>
      </c>
      <c r="M93" s="4" t="s">
        <v>71</v>
      </c>
      <c r="N93" s="2" t="n">
        <f aca="false">MAX(0.1,ROUNDUP(ROUND(I93,6)*10,0)/10)</f>
        <v>4.3</v>
      </c>
      <c r="O93" s="2" t="n">
        <f aca="false">MAX(0.1,ROUNDUP(ROUND(K93,6)*10,0)/10)</f>
        <v>4.3</v>
      </c>
      <c r="P93" s="2" t="str">
        <f aca="false">IF(N93&lt;&gt;O93,"yes","no")</f>
        <v>no</v>
      </c>
      <c r="Q93" s="2"/>
    </row>
    <row r="94" customFormat="false" ht="15" hidden="false" customHeight="false" outlineLevel="0" collapsed="false">
      <c r="A94" s="2" t="s">
        <v>637</v>
      </c>
      <c r="B94" s="2" t="s">
        <v>631</v>
      </c>
      <c r="C94" s="2" t="s">
        <v>618</v>
      </c>
      <c r="D94" s="2" t="s">
        <v>633</v>
      </c>
      <c r="E94" s="2" t="s">
        <v>257</v>
      </c>
      <c r="F94" s="2" t="n">
        <v>4160</v>
      </c>
      <c r="G94" s="2" t="n">
        <v>20</v>
      </c>
      <c r="H94" s="2" t="n">
        <v>-206.46</v>
      </c>
      <c r="I94" s="2" t="n">
        <v>4.317</v>
      </c>
      <c r="J94" s="2" t="n">
        <v>4.317</v>
      </c>
      <c r="K94" s="2" t="n">
        <v>4.317</v>
      </c>
      <c r="L94" s="2" t="n">
        <v>0.1705</v>
      </c>
      <c r="M94" s="4" t="s">
        <v>71</v>
      </c>
      <c r="N94" s="2" t="n">
        <f aca="false">MAX(0.1,ROUNDUP(ROUND(I94,6)*10,0)/10)</f>
        <v>4.4</v>
      </c>
      <c r="O94" s="2" t="n">
        <f aca="false">MAX(0.1,ROUNDUP(ROUND(K94,6)*10,0)/10)</f>
        <v>4.4</v>
      </c>
      <c r="P94" s="2" t="str">
        <f aca="false">IF(N94&lt;&gt;O94,"yes","no")</f>
        <v>no</v>
      </c>
      <c r="Q94" s="2"/>
    </row>
    <row r="95" customFormat="false" ht="15" hidden="false" customHeight="false" outlineLevel="0" collapsed="false">
      <c r="A95" s="2" t="s">
        <v>638</v>
      </c>
      <c r="B95" s="2" t="s">
        <v>631</v>
      </c>
      <c r="C95" s="2" t="s">
        <v>618</v>
      </c>
      <c r="D95" s="2" t="s">
        <v>633</v>
      </c>
      <c r="E95" s="2" t="s">
        <v>257</v>
      </c>
      <c r="F95" s="2" t="n">
        <v>4160</v>
      </c>
      <c r="G95" s="2" t="n">
        <v>20</v>
      </c>
      <c r="H95" s="2" t="n">
        <v>-206.46</v>
      </c>
      <c r="I95" s="2" t="n">
        <v>4.317</v>
      </c>
      <c r="J95" s="2" t="n">
        <v>4.317</v>
      </c>
      <c r="K95" s="2" t="n">
        <v>4.317</v>
      </c>
      <c r="L95" s="2" t="n">
        <v>0.1705</v>
      </c>
      <c r="M95" s="4" t="s">
        <v>71</v>
      </c>
      <c r="N95" s="2" t="n">
        <f aca="false">MAX(0.1,ROUNDUP(ROUND(I95,6)*10,0)/10)</f>
        <v>4.4</v>
      </c>
      <c r="O95" s="2" t="n">
        <f aca="false">MAX(0.1,ROUNDUP(ROUND(K95,6)*10,0)/10)</f>
        <v>4.4</v>
      </c>
      <c r="P95" s="2" t="str">
        <f aca="false">IF(N95&lt;&gt;O95,"yes","no")</f>
        <v>no</v>
      </c>
      <c r="Q95" s="2"/>
    </row>
    <row r="96" customFormat="false" ht="15" hidden="false" customHeight="false" outlineLevel="0" collapsed="false">
      <c r="A96" s="2" t="s">
        <v>639</v>
      </c>
      <c r="B96" s="2" t="s">
        <v>631</v>
      </c>
      <c r="C96" s="2" t="s">
        <v>618</v>
      </c>
      <c r="D96" s="2" t="s">
        <v>633</v>
      </c>
      <c r="E96" s="2" t="s">
        <v>257</v>
      </c>
      <c r="F96" s="2" t="n">
        <v>3950</v>
      </c>
      <c r="G96" s="2" t="n">
        <v>20</v>
      </c>
      <c r="H96" s="2" t="n">
        <v>-180.28</v>
      </c>
      <c r="I96" s="2" t="n">
        <v>4.002</v>
      </c>
      <c r="J96" s="2" t="n">
        <v>4.002</v>
      </c>
      <c r="K96" s="2" t="n">
        <v>4.002</v>
      </c>
      <c r="L96" s="2" t="n">
        <v>0.166</v>
      </c>
      <c r="M96" s="4" t="s">
        <v>71</v>
      </c>
      <c r="N96" s="2" t="n">
        <f aca="false">MAX(0.1,ROUNDUP(ROUND(I96,6)*10,0)/10)</f>
        <v>4.1</v>
      </c>
      <c r="O96" s="2" t="n">
        <f aca="false">MAX(0.1,ROUNDUP(ROUND(K96,6)*10,0)/10)</f>
        <v>4.1</v>
      </c>
      <c r="P96" s="2" t="str">
        <f aca="false">IF(N96&lt;&gt;O96,"yes","no")</f>
        <v>no</v>
      </c>
      <c r="Q96" s="2"/>
    </row>
    <row r="97" customFormat="false" ht="15" hidden="false" customHeight="false" outlineLevel="0" collapsed="false">
      <c r="A97" s="2" t="s">
        <v>640</v>
      </c>
      <c r="B97" s="2" t="s">
        <v>631</v>
      </c>
      <c r="C97" s="2" t="s">
        <v>618</v>
      </c>
      <c r="D97" s="2" t="s">
        <v>633</v>
      </c>
      <c r="E97" s="2" t="s">
        <v>257</v>
      </c>
      <c r="F97" s="2" t="n">
        <v>4180</v>
      </c>
      <c r="G97" s="2" t="n">
        <v>20</v>
      </c>
      <c r="H97" s="2" t="n">
        <v>-208.49</v>
      </c>
      <c r="I97" s="2" t="n">
        <v>4.345</v>
      </c>
      <c r="J97" s="2" t="n">
        <v>4.345</v>
      </c>
      <c r="K97" s="2" t="n">
        <v>4.345</v>
      </c>
      <c r="L97" s="2" t="n">
        <v>0.1705</v>
      </c>
      <c r="M97" s="4" t="s">
        <v>71</v>
      </c>
      <c r="N97" s="2" t="n">
        <f aca="false">MAX(0.1,ROUNDUP(ROUND(I97,6)*10,0)/10)</f>
        <v>4.4</v>
      </c>
      <c r="O97" s="2" t="n">
        <f aca="false">MAX(0.1,ROUNDUP(ROUND(K97,6)*10,0)/10)</f>
        <v>4.4</v>
      </c>
      <c r="P97" s="2" t="str">
        <f aca="false">IF(N97&lt;&gt;O97,"yes","no")</f>
        <v>no</v>
      </c>
      <c r="Q97" s="2"/>
    </row>
    <row r="98" customFormat="false" ht="15" hidden="false" customHeight="false" outlineLevel="0" collapsed="false">
      <c r="A98" s="2" t="s">
        <v>513</v>
      </c>
      <c r="B98" s="2" t="s">
        <v>631</v>
      </c>
      <c r="C98" s="2" t="s">
        <v>618</v>
      </c>
      <c r="D98" s="2" t="s">
        <v>633</v>
      </c>
      <c r="E98" s="2" t="s">
        <v>257</v>
      </c>
      <c r="F98" s="2" t="n">
        <v>4110</v>
      </c>
      <c r="G98" s="2" t="n">
        <v>20</v>
      </c>
      <c r="H98" s="2" t="n">
        <v>-200.95</v>
      </c>
      <c r="I98" s="2" t="n">
        <v>4.247</v>
      </c>
      <c r="J98" s="2" t="n">
        <v>4.247</v>
      </c>
      <c r="K98" s="2" t="n">
        <v>4.247</v>
      </c>
      <c r="L98" s="2" t="n">
        <v>0.1645</v>
      </c>
      <c r="M98" s="4" t="s">
        <v>71</v>
      </c>
      <c r="N98" s="2" t="n">
        <f aca="false">MAX(0.1,ROUNDUP(ROUND(I98,6)*10,0)/10)</f>
        <v>4.3</v>
      </c>
      <c r="O98" s="2" t="n">
        <f aca="false">MAX(0.1,ROUNDUP(ROUND(K98,6)*10,0)/10)</f>
        <v>4.3</v>
      </c>
      <c r="P98" s="2" t="str">
        <f aca="false">IF(N98&lt;&gt;O98,"yes","no")</f>
        <v>no</v>
      </c>
      <c r="Q98" s="2"/>
    </row>
    <row r="99" customFormat="false" ht="15" hidden="false" customHeight="false" outlineLevel="0" collapsed="false">
      <c r="A99" s="2" t="s">
        <v>517</v>
      </c>
      <c r="B99" s="2" t="s">
        <v>631</v>
      </c>
      <c r="C99" s="2" t="s">
        <v>618</v>
      </c>
      <c r="D99" s="2" t="s">
        <v>633</v>
      </c>
      <c r="E99" s="2" t="s">
        <v>257</v>
      </c>
      <c r="F99" s="2" t="n">
        <v>3790</v>
      </c>
      <c r="G99" s="2" t="n">
        <v>20</v>
      </c>
      <c r="H99" s="2" t="n">
        <v>-158.8</v>
      </c>
      <c r="I99" s="2" t="n">
        <v>3.762</v>
      </c>
      <c r="J99" s="2" t="n">
        <v>3.762</v>
      </c>
      <c r="K99" s="2" t="n">
        <v>3.762</v>
      </c>
      <c r="L99" s="2" t="n">
        <v>0.163</v>
      </c>
      <c r="M99" s="4" t="s">
        <v>71</v>
      </c>
      <c r="N99" s="2" t="n">
        <f aca="false">MAX(0.1,ROUNDUP(ROUND(I99,6)*10,0)/10)</f>
        <v>3.8</v>
      </c>
      <c r="O99" s="2" t="n">
        <f aca="false">MAX(0.1,ROUNDUP(ROUND(K99,6)*10,0)/10)</f>
        <v>3.8</v>
      </c>
      <c r="P99" s="2" t="str">
        <f aca="false">IF(N99&lt;&gt;O99,"yes","no")</f>
        <v>no</v>
      </c>
      <c r="Q99" s="2"/>
    </row>
    <row r="100" customFormat="false" ht="15" hidden="false" customHeight="false" outlineLevel="0" collapsed="false">
      <c r="A100" s="2" t="s">
        <v>518</v>
      </c>
      <c r="B100" s="2" t="s">
        <v>631</v>
      </c>
      <c r="C100" s="2" t="s">
        <v>618</v>
      </c>
      <c r="D100" s="2" t="s">
        <v>633</v>
      </c>
      <c r="E100" s="2" t="s">
        <v>257</v>
      </c>
      <c r="F100" s="2" t="n">
        <v>4290</v>
      </c>
      <c r="G100" s="2" t="n">
        <v>30</v>
      </c>
      <c r="H100" s="2" t="n">
        <v>-217.95</v>
      </c>
      <c r="I100" s="2" t="n">
        <v>4.503</v>
      </c>
      <c r="J100" s="2" t="n">
        <v>4.503</v>
      </c>
      <c r="K100" s="2" t="n">
        <v>4.503</v>
      </c>
      <c r="L100" s="2" t="n">
        <v>0.193</v>
      </c>
      <c r="M100" s="4" t="s">
        <v>71</v>
      </c>
      <c r="N100" s="2" t="n">
        <f aca="false">MAX(0.1,ROUNDUP(ROUND(I100,6)*10,0)/10)</f>
        <v>4.6</v>
      </c>
      <c r="O100" s="2" t="n">
        <f aca="false">MAX(0.1,ROUNDUP(ROUND(K100,6)*10,0)/10)</f>
        <v>4.6</v>
      </c>
      <c r="P100" s="2" t="str">
        <f aca="false">IF(N100&lt;&gt;O100,"yes","no")</f>
        <v>no</v>
      </c>
      <c r="Q100" s="2"/>
    </row>
    <row r="101" customFormat="false" ht="15" hidden="false" customHeight="false" outlineLevel="0" collapsed="false">
      <c r="A101" s="2" t="s">
        <v>641</v>
      </c>
      <c r="B101" s="2" t="s">
        <v>642</v>
      </c>
      <c r="C101" s="2" t="s">
        <v>618</v>
      </c>
      <c r="D101" s="2" t="s">
        <v>633</v>
      </c>
      <c r="E101" s="2" t="s">
        <v>257</v>
      </c>
      <c r="F101" s="2" t="n">
        <v>4200</v>
      </c>
      <c r="G101" s="2" t="n">
        <v>20</v>
      </c>
      <c r="H101" s="2" t="n">
        <v>-210.41</v>
      </c>
      <c r="I101" s="2" t="n">
        <v>4.374</v>
      </c>
      <c r="J101" s="2" t="n">
        <v>4.374</v>
      </c>
      <c r="K101" s="2" t="n">
        <v>4.374</v>
      </c>
      <c r="L101" s="2" t="n">
        <v>0.1725</v>
      </c>
      <c r="M101" s="4" t="s">
        <v>71</v>
      </c>
      <c r="N101" s="2" t="n">
        <f aca="false">MAX(0.1,ROUNDUP(ROUND(I101,6)*10,0)/10)</f>
        <v>4.4</v>
      </c>
      <c r="O101" s="2" t="n">
        <f aca="false">MAX(0.1,ROUNDUP(ROUND(K101,6)*10,0)/10)</f>
        <v>4.4</v>
      </c>
      <c r="P101" s="2" t="str">
        <f aca="false">IF(N101&lt;&gt;O101,"yes","no")</f>
        <v>no</v>
      </c>
      <c r="Q101" s="2"/>
    </row>
    <row r="102" customFormat="false" ht="15" hidden="false" customHeight="false" outlineLevel="0" collapsed="false">
      <c r="A102" s="2" t="s">
        <v>643</v>
      </c>
      <c r="B102" s="2" t="s">
        <v>642</v>
      </c>
      <c r="C102" s="2" t="s">
        <v>618</v>
      </c>
      <c r="D102" s="2" t="s">
        <v>633</v>
      </c>
      <c r="E102" s="2" t="s">
        <v>257</v>
      </c>
      <c r="F102" s="2" t="n">
        <v>4180</v>
      </c>
      <c r="G102" s="2" t="n">
        <v>20</v>
      </c>
      <c r="H102" s="2" t="n">
        <v>-208.49</v>
      </c>
      <c r="I102" s="2" t="n">
        <v>4.345</v>
      </c>
      <c r="J102" s="2" t="n">
        <v>4.345</v>
      </c>
      <c r="K102" s="2" t="n">
        <v>4.345</v>
      </c>
      <c r="L102" s="2" t="n">
        <v>0.1705</v>
      </c>
      <c r="M102" s="4" t="s">
        <v>71</v>
      </c>
      <c r="N102" s="2" t="n">
        <f aca="false">MAX(0.1,ROUNDUP(ROUND(I102,6)*10,0)/10)</f>
        <v>4.4</v>
      </c>
      <c r="O102" s="2" t="n">
        <f aca="false">MAX(0.1,ROUNDUP(ROUND(K102,6)*10,0)/10)</f>
        <v>4.4</v>
      </c>
      <c r="P102" s="2" t="str">
        <f aca="false">IF(N102&lt;&gt;O102,"yes","no")</f>
        <v>no</v>
      </c>
      <c r="Q102" s="2"/>
    </row>
    <row r="103" customFormat="false" ht="15" hidden="false" customHeight="false" outlineLevel="0" collapsed="false">
      <c r="A103" s="2" t="s">
        <v>644</v>
      </c>
      <c r="B103" s="2" t="s">
        <v>629</v>
      </c>
      <c r="C103" s="2" t="s">
        <v>618</v>
      </c>
      <c r="D103" s="2" t="s">
        <v>633</v>
      </c>
      <c r="E103" s="2" t="s">
        <v>257</v>
      </c>
      <c r="F103" s="2" t="n">
        <v>3100</v>
      </c>
      <c r="G103" s="2" t="n">
        <v>20</v>
      </c>
      <c r="H103" s="2" t="n">
        <v>-119.53</v>
      </c>
      <c r="I103" s="2" t="n">
        <v>2.859</v>
      </c>
      <c r="J103" s="2" t="n">
        <v>2.859</v>
      </c>
      <c r="K103" s="2" t="n">
        <v>2.859</v>
      </c>
      <c r="L103" s="2" t="n">
        <v>0.146</v>
      </c>
      <c r="M103" s="4" t="s">
        <v>71</v>
      </c>
      <c r="N103" s="2" t="n">
        <f aca="false">MAX(0.1,ROUNDUP(ROUND(I103,6)*10,0)/10)</f>
        <v>2.9</v>
      </c>
      <c r="O103" s="2" t="n">
        <f aca="false">MAX(0.1,ROUNDUP(ROUND(K103,6)*10,0)/10)</f>
        <v>2.9</v>
      </c>
      <c r="P103" s="2" t="str">
        <f aca="false">IF(N103&lt;&gt;O103,"yes","no")</f>
        <v>no</v>
      </c>
      <c r="Q103" s="2"/>
    </row>
    <row r="104" customFormat="false" ht="15" hidden="false" customHeight="false" outlineLevel="0" collapsed="false">
      <c r="A104" s="2" t="s">
        <v>645</v>
      </c>
      <c r="B104" s="2" t="s">
        <v>629</v>
      </c>
      <c r="C104" s="2" t="s">
        <v>618</v>
      </c>
      <c r="D104" s="2" t="s">
        <v>633</v>
      </c>
      <c r="E104" s="2" t="s">
        <v>257</v>
      </c>
      <c r="F104" s="2" t="n">
        <v>3010</v>
      </c>
      <c r="G104" s="2" t="n">
        <v>20</v>
      </c>
      <c r="H104" s="2" t="n">
        <v>-120.53</v>
      </c>
      <c r="I104" s="2" t="n">
        <v>2.767</v>
      </c>
      <c r="J104" s="2" t="n">
        <v>2.767</v>
      </c>
      <c r="K104" s="2" t="n">
        <v>2.767</v>
      </c>
      <c r="L104" s="2" t="n">
        <v>0.145</v>
      </c>
      <c r="M104" s="4" t="s">
        <v>71</v>
      </c>
      <c r="N104" s="2" t="n">
        <f aca="false">MAX(0.1,ROUNDUP(ROUND(I104,6)*10,0)/10)</f>
        <v>2.8</v>
      </c>
      <c r="O104" s="2" t="n">
        <f aca="false">MAX(0.1,ROUNDUP(ROUND(K104,6)*10,0)/10)</f>
        <v>2.8</v>
      </c>
      <c r="P104" s="2" t="str">
        <f aca="false">IF(N104&lt;&gt;O104,"yes","no")</f>
        <v>no</v>
      </c>
      <c r="Q104" s="2"/>
    </row>
    <row r="105" customFormat="false" ht="15" hidden="false" customHeight="false" outlineLevel="0" collapsed="false">
      <c r="A105" s="2" t="s">
        <v>646</v>
      </c>
      <c r="B105" s="2" t="s">
        <v>629</v>
      </c>
      <c r="C105" s="2" t="s">
        <v>618</v>
      </c>
      <c r="D105" s="2" t="s">
        <v>633</v>
      </c>
      <c r="E105" s="2" t="s">
        <v>257</v>
      </c>
      <c r="F105" s="2" t="n">
        <v>2970</v>
      </c>
      <c r="G105" s="2" t="n">
        <v>20</v>
      </c>
      <c r="H105" s="2" t="n">
        <v>-121.44</v>
      </c>
      <c r="I105" s="2" t="n">
        <v>2.724</v>
      </c>
      <c r="J105" s="2" t="n">
        <v>2.724</v>
      </c>
      <c r="K105" s="2" t="n">
        <v>2.724</v>
      </c>
      <c r="L105" s="2" t="n">
        <v>0.153</v>
      </c>
      <c r="M105" s="4" t="s">
        <v>71</v>
      </c>
      <c r="N105" s="2" t="n">
        <f aca="false">MAX(0.1,ROUNDUP(ROUND(I105,6)*10,0)/10)</f>
        <v>2.8</v>
      </c>
      <c r="O105" s="2" t="n">
        <f aca="false">MAX(0.1,ROUNDUP(ROUND(K105,6)*10,0)/10)</f>
        <v>2.8</v>
      </c>
      <c r="P105" s="2" t="str">
        <f aca="false">IF(N105&lt;&gt;O105,"yes","no")</f>
        <v>no</v>
      </c>
      <c r="Q105" s="2"/>
    </row>
    <row r="106" customFormat="false" ht="15" hidden="false" customHeight="false" outlineLevel="0" collapsed="false">
      <c r="A106" s="2" t="s">
        <v>647</v>
      </c>
      <c r="B106" s="2" t="s">
        <v>648</v>
      </c>
      <c r="C106" s="2" t="s">
        <v>618</v>
      </c>
      <c r="D106" s="2" t="s">
        <v>633</v>
      </c>
      <c r="E106" s="2" t="s">
        <v>257</v>
      </c>
      <c r="F106" s="2" t="n">
        <v>3040</v>
      </c>
      <c r="G106" s="2" t="n">
        <v>20</v>
      </c>
      <c r="H106" s="2" t="n">
        <v>-120.04</v>
      </c>
      <c r="I106" s="2" t="n">
        <v>2.797</v>
      </c>
      <c r="J106" s="2" t="n">
        <v>2.797</v>
      </c>
      <c r="K106" s="2" t="n">
        <v>2.797</v>
      </c>
      <c r="L106" s="2" t="n">
        <v>0.1355</v>
      </c>
      <c r="M106" s="4" t="s">
        <v>71</v>
      </c>
      <c r="N106" s="2" t="n">
        <f aca="false">MAX(0.1,ROUNDUP(ROUND(I106,6)*10,0)/10)</f>
        <v>2.8</v>
      </c>
      <c r="O106" s="2" t="n">
        <f aca="false">MAX(0.1,ROUNDUP(ROUND(K106,6)*10,0)/10)</f>
        <v>2.8</v>
      </c>
      <c r="P106" s="2" t="str">
        <f aca="false">IF(N106&lt;&gt;O106,"yes","no")</f>
        <v>no</v>
      </c>
      <c r="Q106" s="2"/>
    </row>
    <row r="107" customFormat="false" ht="15" hidden="false" customHeight="false" outlineLevel="0" collapsed="false">
      <c r="A107" s="2" t="s">
        <v>649</v>
      </c>
      <c r="B107" s="2" t="s">
        <v>650</v>
      </c>
      <c r="C107" s="2" t="s">
        <v>618</v>
      </c>
      <c r="D107" s="2" t="s">
        <v>633</v>
      </c>
      <c r="E107" s="2" t="s">
        <v>257</v>
      </c>
      <c r="F107" s="2" t="n">
        <v>4140</v>
      </c>
      <c r="G107" s="2" t="n">
        <v>25</v>
      </c>
      <c r="H107" s="2" t="n">
        <v>-204.33</v>
      </c>
      <c r="I107" s="2" t="n">
        <v>4.289</v>
      </c>
      <c r="J107" s="2" t="n">
        <v>4.289</v>
      </c>
      <c r="K107" s="2" t="n">
        <v>4.289</v>
      </c>
      <c r="L107" s="2" t="n">
        <v>0.1745</v>
      </c>
      <c r="M107" s="4" t="s">
        <v>71</v>
      </c>
      <c r="N107" s="2" t="n">
        <f aca="false">MAX(0.1,ROUNDUP(ROUND(I107,6)*10,0)/10)</f>
        <v>4.3</v>
      </c>
      <c r="O107" s="2" t="n">
        <f aca="false">MAX(0.1,ROUNDUP(ROUND(K107,6)*10,0)/10)</f>
        <v>4.3</v>
      </c>
      <c r="P107" s="2" t="str">
        <f aca="false">IF(N107&lt;&gt;O107,"yes","no")</f>
        <v>no</v>
      </c>
      <c r="Q107" s="2"/>
    </row>
    <row r="108" customFormat="false" ht="15" hidden="false" customHeight="false" outlineLevel="0" collapsed="false">
      <c r="A108" s="2" t="s">
        <v>651</v>
      </c>
      <c r="B108" s="2" t="s">
        <v>650</v>
      </c>
      <c r="C108" s="2" t="s">
        <v>618</v>
      </c>
      <c r="D108" s="2" t="s">
        <v>633</v>
      </c>
      <c r="E108" s="2" t="s">
        <v>257</v>
      </c>
      <c r="F108" s="2" t="n">
        <v>4010</v>
      </c>
      <c r="G108" s="2" t="n">
        <v>20</v>
      </c>
      <c r="H108" s="2" t="n">
        <v>-188.39</v>
      </c>
      <c r="I108" s="2" t="n">
        <v>4.093</v>
      </c>
      <c r="J108" s="2" t="n">
        <v>4.093</v>
      </c>
      <c r="K108" s="2" t="n">
        <v>4.093</v>
      </c>
      <c r="L108" s="2" t="n">
        <v>0.1755</v>
      </c>
      <c r="M108" s="4" t="s">
        <v>71</v>
      </c>
      <c r="N108" s="2" t="n">
        <f aca="false">MAX(0.1,ROUNDUP(ROUND(I108,6)*10,0)/10)</f>
        <v>4.1</v>
      </c>
      <c r="O108" s="2" t="n">
        <f aca="false">MAX(0.1,ROUNDUP(ROUND(K108,6)*10,0)/10)</f>
        <v>4.1</v>
      </c>
      <c r="P108" s="2" t="str">
        <f aca="false">IF(N108&lt;&gt;O108,"yes","no")</f>
        <v>no</v>
      </c>
      <c r="Q108" s="2"/>
    </row>
    <row r="109" customFormat="false" ht="15" hidden="false" customHeight="false" outlineLevel="0" collapsed="false">
      <c r="A109" s="2" t="s">
        <v>652</v>
      </c>
      <c r="B109" s="2" t="s">
        <v>650</v>
      </c>
      <c r="C109" s="2" t="s">
        <v>618</v>
      </c>
      <c r="D109" s="2" t="s">
        <v>633</v>
      </c>
      <c r="E109" s="2" t="s">
        <v>257</v>
      </c>
      <c r="F109" s="2" t="n">
        <v>3590</v>
      </c>
      <c r="G109" s="2" t="n">
        <v>25</v>
      </c>
      <c r="H109" s="2" t="n">
        <v>-137.69</v>
      </c>
      <c r="I109" s="2" t="n">
        <v>3.483</v>
      </c>
      <c r="J109" s="2" t="n">
        <v>3.483</v>
      </c>
      <c r="K109" s="2" t="n">
        <v>3.483</v>
      </c>
      <c r="L109" s="2" t="n">
        <v>0.1515</v>
      </c>
      <c r="M109" s="4" t="s">
        <v>71</v>
      </c>
      <c r="N109" s="2" t="n">
        <f aca="false">MAX(0.1,ROUNDUP(ROUND(I109,6)*10,0)/10)</f>
        <v>3.5</v>
      </c>
      <c r="O109" s="2" t="n">
        <f aca="false">MAX(0.1,ROUNDUP(ROUND(K109,6)*10,0)/10)</f>
        <v>3.5</v>
      </c>
      <c r="P109" s="2" t="str">
        <f aca="false">IF(N109&lt;&gt;O109,"yes","no")</f>
        <v>no</v>
      </c>
      <c r="Q109" s="2"/>
    </row>
    <row r="110" customFormat="false" ht="15" hidden="false" customHeight="false" outlineLevel="0" collapsed="false">
      <c r="A110" s="2" t="s">
        <v>653</v>
      </c>
      <c r="B110" s="2" t="s">
        <v>650</v>
      </c>
      <c r="C110" s="2" t="s">
        <v>618</v>
      </c>
      <c r="D110" s="2" t="s">
        <v>633</v>
      </c>
      <c r="E110" s="2" t="s">
        <v>257</v>
      </c>
      <c r="F110" s="2" t="n">
        <v>4070</v>
      </c>
      <c r="G110" s="2" t="n">
        <v>25</v>
      </c>
      <c r="H110" s="2" t="n">
        <v>-196.12</v>
      </c>
      <c r="I110" s="2" t="n">
        <v>4.186</v>
      </c>
      <c r="J110" s="2" t="n">
        <v>4.186</v>
      </c>
      <c r="K110" s="2" t="n">
        <v>4.186</v>
      </c>
      <c r="L110" s="2" t="n">
        <v>0.183</v>
      </c>
      <c r="M110" s="4" t="s">
        <v>71</v>
      </c>
      <c r="N110" s="2" t="n">
        <f aca="false">MAX(0.1,ROUNDUP(ROUND(I110,6)*10,0)/10)</f>
        <v>4.2</v>
      </c>
      <c r="O110" s="2" t="n">
        <f aca="false">MAX(0.1,ROUNDUP(ROUND(K110,6)*10,0)/10)</f>
        <v>4.2</v>
      </c>
      <c r="P110" s="2" t="str">
        <f aca="false">IF(N110&lt;&gt;O110,"yes","no")</f>
        <v>no</v>
      </c>
      <c r="Q110" s="2"/>
    </row>
    <row r="111" customFormat="false" ht="15" hidden="false" customHeight="false" outlineLevel="0" collapsed="false">
      <c r="A111" s="2" t="s">
        <v>654</v>
      </c>
      <c r="B111" s="2" t="s">
        <v>650</v>
      </c>
      <c r="C111" s="2" t="s">
        <v>618</v>
      </c>
      <c r="D111" s="2" t="s">
        <v>633</v>
      </c>
      <c r="E111" s="2" t="s">
        <v>257</v>
      </c>
      <c r="F111" s="2" t="n">
        <v>3990</v>
      </c>
      <c r="G111" s="2" t="n">
        <v>25</v>
      </c>
      <c r="H111" s="2" t="n">
        <v>-185.71</v>
      </c>
      <c r="I111" s="2" t="n">
        <v>4.061</v>
      </c>
      <c r="J111" s="2" t="n">
        <v>4.061</v>
      </c>
      <c r="K111" s="2" t="n">
        <v>4.061</v>
      </c>
      <c r="L111" s="2" t="n">
        <v>0.176</v>
      </c>
      <c r="M111" s="4" t="s">
        <v>71</v>
      </c>
      <c r="N111" s="2" t="n">
        <f aca="false">MAX(0.1,ROUNDUP(ROUND(I111,6)*10,0)/10)</f>
        <v>4.1</v>
      </c>
      <c r="O111" s="2" t="n">
        <f aca="false">MAX(0.1,ROUNDUP(ROUND(K111,6)*10,0)/10)</f>
        <v>4.1</v>
      </c>
      <c r="P111" s="2" t="str">
        <f aca="false">IF(N111&lt;&gt;O111,"yes","no")</f>
        <v>no</v>
      </c>
      <c r="Q111" s="2"/>
    </row>
    <row r="112" customFormat="false" ht="15" hidden="false" customHeight="false" outlineLevel="0" collapsed="false">
      <c r="A112" s="2" t="s">
        <v>655</v>
      </c>
      <c r="B112" s="2" t="s">
        <v>656</v>
      </c>
      <c r="C112" s="2" t="s">
        <v>618</v>
      </c>
      <c r="D112" s="2" t="s">
        <v>633</v>
      </c>
      <c r="E112" s="2" t="s">
        <v>257</v>
      </c>
      <c r="F112" s="2" t="n">
        <v>3740</v>
      </c>
      <c r="G112" s="2" t="n">
        <v>20</v>
      </c>
      <c r="H112" s="2" t="n">
        <v>-152.69</v>
      </c>
      <c r="I112" s="2" t="n">
        <v>3.69</v>
      </c>
      <c r="J112" s="2" t="n">
        <v>3.69</v>
      </c>
      <c r="K112" s="2" t="n">
        <v>3.69</v>
      </c>
      <c r="L112" s="2" t="n">
        <v>0.162</v>
      </c>
      <c r="M112" s="4" t="s">
        <v>71</v>
      </c>
      <c r="N112" s="2" t="n">
        <f aca="false">MAX(0.1,ROUNDUP(ROUND(I112,6)*10,0)/10)</f>
        <v>3.7</v>
      </c>
      <c r="O112" s="2" t="n">
        <f aca="false">MAX(0.1,ROUNDUP(ROUND(K112,6)*10,0)/10)</f>
        <v>3.7</v>
      </c>
      <c r="P112" s="2" t="str">
        <f aca="false">IF(N112&lt;&gt;O112,"yes","no")</f>
        <v>no</v>
      </c>
      <c r="Q112" s="2"/>
    </row>
    <row r="113" customFormat="false" ht="15" hidden="false" customHeight="false" outlineLevel="0" collapsed="false">
      <c r="A113" s="2" t="s">
        <v>657</v>
      </c>
      <c r="B113" s="2" t="s">
        <v>656</v>
      </c>
      <c r="C113" s="2" t="s">
        <v>618</v>
      </c>
      <c r="D113" s="2" t="s">
        <v>633</v>
      </c>
      <c r="E113" s="2" t="s">
        <v>257</v>
      </c>
      <c r="F113" s="2" t="n">
        <v>3850</v>
      </c>
      <c r="G113" s="2" t="n">
        <v>20</v>
      </c>
      <c r="H113" s="2" t="n">
        <v>-166.64</v>
      </c>
      <c r="I113" s="2" t="n">
        <v>3.852</v>
      </c>
      <c r="J113" s="2" t="n">
        <v>3.852</v>
      </c>
      <c r="K113" s="2" t="n">
        <v>3.852</v>
      </c>
      <c r="L113" s="2" t="n">
        <v>0.1695</v>
      </c>
      <c r="M113" s="4" t="s">
        <v>71</v>
      </c>
      <c r="N113" s="2" t="n">
        <f aca="false">MAX(0.1,ROUNDUP(ROUND(I113,6)*10,0)/10)</f>
        <v>3.9</v>
      </c>
      <c r="O113" s="2" t="n">
        <f aca="false">MAX(0.1,ROUNDUP(ROUND(K113,6)*10,0)/10)</f>
        <v>3.9</v>
      </c>
      <c r="P113" s="2" t="str">
        <f aca="false">IF(N113&lt;&gt;O113,"yes","no")</f>
        <v>no</v>
      </c>
      <c r="Q113" s="2"/>
    </row>
    <row r="114" customFormat="false" ht="15" hidden="false" customHeight="false" outlineLevel="0" collapsed="false">
      <c r="A114" s="2" t="s">
        <v>658</v>
      </c>
      <c r="B114" s="2" t="s">
        <v>656</v>
      </c>
      <c r="C114" s="2" t="s">
        <v>618</v>
      </c>
      <c r="D114" s="2" t="s">
        <v>633</v>
      </c>
      <c r="E114" s="2" t="s">
        <v>257</v>
      </c>
      <c r="F114" s="2" t="n">
        <v>3580</v>
      </c>
      <c r="G114" s="2" t="n">
        <v>15</v>
      </c>
      <c r="H114" s="2" t="n">
        <v>-136.88</v>
      </c>
      <c r="I114" s="2" t="n">
        <v>3.469</v>
      </c>
      <c r="J114" s="2" t="n">
        <v>3.469</v>
      </c>
      <c r="K114" s="2" t="n">
        <v>3.469</v>
      </c>
      <c r="L114" s="2" t="n">
        <v>0.143</v>
      </c>
      <c r="M114" s="4" t="s">
        <v>71</v>
      </c>
      <c r="N114" s="2" t="n">
        <f aca="false">MAX(0.1,ROUNDUP(ROUND(I114,6)*10,0)/10)</f>
        <v>3.5</v>
      </c>
      <c r="O114" s="2" t="n">
        <f aca="false">MAX(0.1,ROUNDUP(ROUND(K114,6)*10,0)/10)</f>
        <v>3.5</v>
      </c>
      <c r="P114" s="2" t="str">
        <f aca="false">IF(N114&lt;&gt;O114,"yes","no")</f>
        <v>no</v>
      </c>
      <c r="Q114" s="2"/>
    </row>
    <row r="115" customFormat="false" ht="15" hidden="false" customHeight="false" outlineLevel="0" collapsed="false">
      <c r="A115" s="2" t="s">
        <v>659</v>
      </c>
      <c r="B115" s="2" t="s">
        <v>621</v>
      </c>
      <c r="C115" s="2" t="s">
        <v>618</v>
      </c>
      <c r="D115" s="2" t="s">
        <v>633</v>
      </c>
      <c r="E115" s="2" t="s">
        <v>257</v>
      </c>
      <c r="F115" s="2" t="n">
        <v>3100</v>
      </c>
      <c r="G115" s="2" t="n">
        <v>15</v>
      </c>
      <c r="H115" s="2" t="n">
        <v>-119.53</v>
      </c>
      <c r="I115" s="2" t="n">
        <v>2.858</v>
      </c>
      <c r="J115" s="2" t="n">
        <v>2.858</v>
      </c>
      <c r="K115" s="2" t="n">
        <v>2.858</v>
      </c>
      <c r="L115" s="2" t="n">
        <v>0.143</v>
      </c>
      <c r="M115" s="4" t="s">
        <v>71</v>
      </c>
      <c r="N115" s="2" t="n">
        <f aca="false">MAX(0.1,ROUNDUP(ROUND(I115,6)*10,0)/10)</f>
        <v>2.9</v>
      </c>
      <c r="O115" s="2" t="n">
        <f aca="false">MAX(0.1,ROUNDUP(ROUND(K115,6)*10,0)/10)</f>
        <v>2.9</v>
      </c>
      <c r="P115" s="2" t="str">
        <f aca="false">IF(N115&lt;&gt;O115,"yes","no")</f>
        <v>no</v>
      </c>
      <c r="Q115" s="2"/>
    </row>
    <row r="116" customFormat="false" ht="15" hidden="false" customHeight="false" outlineLevel="0" collapsed="false">
      <c r="A116" s="2" t="s">
        <v>660</v>
      </c>
      <c r="B116" s="2" t="s">
        <v>621</v>
      </c>
      <c r="C116" s="2" t="s">
        <v>618</v>
      </c>
      <c r="D116" s="2" t="s">
        <v>633</v>
      </c>
      <c r="E116" s="2" t="s">
        <v>257</v>
      </c>
      <c r="F116" s="2" t="n">
        <v>3130</v>
      </c>
      <c r="G116" s="2" t="n">
        <v>15</v>
      </c>
      <c r="H116" s="2" t="n">
        <v>-119.51</v>
      </c>
      <c r="I116" s="2" t="n">
        <v>2.894</v>
      </c>
      <c r="J116" s="2" t="n">
        <v>2.894</v>
      </c>
      <c r="K116" s="2" t="n">
        <v>2.894</v>
      </c>
      <c r="L116" s="2" t="n">
        <v>0.1515</v>
      </c>
      <c r="M116" s="4" t="s">
        <v>71</v>
      </c>
      <c r="N116" s="2" t="n">
        <f aca="false">MAX(0.1,ROUNDUP(ROUND(I116,6)*10,0)/10)</f>
        <v>2.9</v>
      </c>
      <c r="O116" s="2" t="n">
        <f aca="false">MAX(0.1,ROUNDUP(ROUND(K116,6)*10,0)/10)</f>
        <v>2.9</v>
      </c>
      <c r="P116" s="2" t="str">
        <f aca="false">IF(N116&lt;&gt;O116,"yes","no")</f>
        <v>no</v>
      </c>
      <c r="Q116" s="2"/>
    </row>
    <row r="117" customFormat="false" ht="15" hidden="false" customHeight="false" outlineLevel="0" collapsed="false">
      <c r="A117" s="2" t="s">
        <v>661</v>
      </c>
      <c r="B117" s="2" t="s">
        <v>621</v>
      </c>
      <c r="C117" s="2" t="s">
        <v>618</v>
      </c>
      <c r="D117" s="2" t="s">
        <v>633</v>
      </c>
      <c r="E117" s="2" t="s">
        <v>257</v>
      </c>
      <c r="F117" s="2" t="n">
        <v>4140</v>
      </c>
      <c r="G117" s="2" t="n">
        <v>20</v>
      </c>
      <c r="H117" s="2" t="n">
        <v>-204.33</v>
      </c>
      <c r="I117" s="2" t="n">
        <v>4.29</v>
      </c>
      <c r="J117" s="2" t="n">
        <v>4.29</v>
      </c>
      <c r="K117" s="2" t="n">
        <v>4.29</v>
      </c>
      <c r="L117" s="2" t="n">
        <v>0.1695</v>
      </c>
      <c r="M117" s="4" t="s">
        <v>71</v>
      </c>
      <c r="N117" s="2" t="n">
        <f aca="false">MAX(0.1,ROUNDUP(ROUND(I117,6)*10,0)/10)</f>
        <v>4.3</v>
      </c>
      <c r="O117" s="2" t="n">
        <f aca="false">MAX(0.1,ROUNDUP(ROUND(K117,6)*10,0)/10)</f>
        <v>4.3</v>
      </c>
      <c r="P117" s="2" t="str">
        <f aca="false">IF(N117&lt;&gt;O117,"yes","no")</f>
        <v>no</v>
      </c>
      <c r="Q117" s="2"/>
    </row>
    <row r="118" customFormat="false" ht="15" hidden="false" customHeight="false" outlineLevel="0" collapsed="false">
      <c r="A118" s="2" t="s">
        <v>662</v>
      </c>
      <c r="B118" s="2" t="s">
        <v>621</v>
      </c>
      <c r="C118" s="2" t="s">
        <v>618</v>
      </c>
      <c r="D118" s="2" t="s">
        <v>633</v>
      </c>
      <c r="E118" s="2" t="s">
        <v>257</v>
      </c>
      <c r="F118" s="2" t="n">
        <v>4120</v>
      </c>
      <c r="G118" s="2" t="n">
        <v>20</v>
      </c>
      <c r="H118" s="2" t="n">
        <v>-202.1</v>
      </c>
      <c r="I118" s="2" t="n">
        <v>4.261</v>
      </c>
      <c r="J118" s="2" t="n">
        <v>4.261</v>
      </c>
      <c r="K118" s="2" t="n">
        <v>4.261</v>
      </c>
      <c r="L118" s="2" t="n">
        <v>0.1645</v>
      </c>
      <c r="M118" s="4" t="s">
        <v>71</v>
      </c>
      <c r="N118" s="2" t="n">
        <f aca="false">MAX(0.1,ROUNDUP(ROUND(I118,6)*10,0)/10)</f>
        <v>4.3</v>
      </c>
      <c r="O118" s="2" t="n">
        <f aca="false">MAX(0.1,ROUNDUP(ROUND(K118,6)*10,0)/10)</f>
        <v>4.3</v>
      </c>
      <c r="P118" s="2" t="str">
        <f aca="false">IF(N118&lt;&gt;O118,"yes","no")</f>
        <v>no</v>
      </c>
      <c r="Q118" s="2"/>
    </row>
    <row r="119" customFormat="false" ht="15" hidden="false" customHeight="false" outlineLevel="0" collapsed="false">
      <c r="A119" s="2" t="s">
        <v>663</v>
      </c>
      <c r="B119" s="2" t="s">
        <v>617</v>
      </c>
      <c r="C119" s="2" t="s">
        <v>618</v>
      </c>
      <c r="D119" s="2" t="s">
        <v>633</v>
      </c>
      <c r="E119" s="2" t="s">
        <v>257</v>
      </c>
      <c r="F119" s="2" t="n">
        <v>1630</v>
      </c>
      <c r="G119" s="2" t="n">
        <v>15</v>
      </c>
      <c r="H119" s="2" t="n">
        <v>-216.07</v>
      </c>
      <c r="I119" s="2" t="n">
        <v>1.242</v>
      </c>
      <c r="J119" s="2" t="n">
        <v>1.242</v>
      </c>
      <c r="K119" s="2" t="n">
        <v>1.242</v>
      </c>
      <c r="L119" s="2" t="n">
        <v>0.1285</v>
      </c>
      <c r="M119" s="4" t="s">
        <v>71</v>
      </c>
      <c r="N119" s="2" t="n">
        <f aca="false">MAX(0.1,ROUNDUP(ROUND(I119,6)*10,0)/10)</f>
        <v>1.3</v>
      </c>
      <c r="O119" s="2" t="n">
        <f aca="false">MAX(0.1,ROUNDUP(ROUND(K119,6)*10,0)/10)</f>
        <v>1.3</v>
      </c>
      <c r="P119" s="2" t="str">
        <f aca="false">IF(N119&lt;&gt;O119,"yes","no")</f>
        <v>no</v>
      </c>
      <c r="Q119" s="2"/>
    </row>
    <row r="120" customFormat="false" ht="15" hidden="false" customHeight="false" outlineLevel="0" collapsed="false">
      <c r="A120" s="2" t="s">
        <v>664</v>
      </c>
      <c r="B120" s="2" t="s">
        <v>617</v>
      </c>
      <c r="C120" s="2" t="s">
        <v>618</v>
      </c>
      <c r="D120" s="2" t="s">
        <v>633</v>
      </c>
      <c r="E120" s="2" t="s">
        <v>257</v>
      </c>
      <c r="F120" s="2" t="n">
        <v>2020</v>
      </c>
      <c r="G120" s="2" t="n">
        <v>15</v>
      </c>
      <c r="H120" s="2" t="n">
        <v>-204.71</v>
      </c>
      <c r="I120" s="2" t="n">
        <v>1.645</v>
      </c>
      <c r="J120" s="2" t="n">
        <v>1.645</v>
      </c>
      <c r="K120" s="2" t="n">
        <v>1.645</v>
      </c>
      <c r="L120" s="2" t="n">
        <v>0.146</v>
      </c>
      <c r="M120" s="4" t="s">
        <v>71</v>
      </c>
      <c r="N120" s="2" t="n">
        <f aca="false">MAX(0.1,ROUNDUP(ROUND(I120,6)*10,0)/10)</f>
        <v>1.7</v>
      </c>
      <c r="O120" s="2" t="n">
        <f aca="false">MAX(0.1,ROUNDUP(ROUND(K120,6)*10,0)/10)</f>
        <v>1.7</v>
      </c>
      <c r="P120" s="2" t="str">
        <f aca="false">IF(N120&lt;&gt;O120,"yes","no")</f>
        <v>no</v>
      </c>
      <c r="Q120" s="2"/>
    </row>
    <row r="121" customFormat="false" ht="15" hidden="false" customHeight="false" outlineLevel="0" collapsed="false">
      <c r="A121" s="2" t="s">
        <v>665</v>
      </c>
      <c r="B121" s="2" t="s">
        <v>617</v>
      </c>
      <c r="C121" s="2" t="s">
        <v>618</v>
      </c>
      <c r="D121" s="2" t="s">
        <v>633</v>
      </c>
      <c r="E121" s="2" t="s">
        <v>257</v>
      </c>
      <c r="F121" s="2" t="n">
        <v>685</v>
      </c>
      <c r="G121" s="2" t="n">
        <v>15</v>
      </c>
      <c r="H121" s="2" t="n">
        <v>-229.19</v>
      </c>
      <c r="I121" s="2" t="n">
        <v>0.374</v>
      </c>
      <c r="J121" s="2" t="n">
        <v>0.374</v>
      </c>
      <c r="K121" s="2" t="n">
        <v>0.374</v>
      </c>
      <c r="L121" s="2" t="n">
        <v>0.122</v>
      </c>
      <c r="M121" s="4" t="s">
        <v>71</v>
      </c>
      <c r="N121" s="2" t="n">
        <f aca="false">MAX(0.1,ROUNDUP(ROUND(I121,6)*10,0)/10)</f>
        <v>0.4</v>
      </c>
      <c r="O121" s="2" t="n">
        <f aca="false">MAX(0.1,ROUNDUP(ROUND(K121,6)*10,0)/10)</f>
        <v>0.4</v>
      </c>
      <c r="P121" s="2" t="str">
        <f aca="false">IF(N121&lt;&gt;O121,"yes","no")</f>
        <v>no</v>
      </c>
      <c r="Q121" s="2"/>
    </row>
    <row r="122" customFormat="false" ht="15" hidden="false" customHeight="false" outlineLevel="0" collapsed="false">
      <c r="A122" s="2" t="s">
        <v>666</v>
      </c>
      <c r="B122" s="2" t="s">
        <v>617</v>
      </c>
      <c r="C122" s="2" t="s">
        <v>618</v>
      </c>
      <c r="D122" s="2" t="s">
        <v>633</v>
      </c>
      <c r="E122" s="2" t="s">
        <v>257</v>
      </c>
      <c r="F122" s="2" t="n">
        <v>3200</v>
      </c>
      <c r="G122" s="2" t="n">
        <v>20</v>
      </c>
      <c r="H122" s="2" t="n">
        <v>-120.01</v>
      </c>
      <c r="I122" s="2" t="n">
        <v>2.984</v>
      </c>
      <c r="J122" s="2" t="n">
        <v>2.984</v>
      </c>
      <c r="K122" s="2" t="n">
        <v>2.984</v>
      </c>
      <c r="L122" s="2" t="n">
        <v>0.169</v>
      </c>
      <c r="M122" s="4" t="s">
        <v>71</v>
      </c>
      <c r="N122" s="2" t="n">
        <f aca="false">MAX(0.1,ROUNDUP(ROUND(I122,6)*10,0)/10)</f>
        <v>3</v>
      </c>
      <c r="O122" s="2" t="n">
        <f aca="false">MAX(0.1,ROUNDUP(ROUND(K122,6)*10,0)/10)</f>
        <v>3</v>
      </c>
      <c r="P122" s="2" t="str">
        <f aca="false">IF(N122&lt;&gt;O122,"yes","no")</f>
        <v>no</v>
      </c>
      <c r="Q122" s="2"/>
    </row>
    <row r="123" customFormat="false" ht="15" hidden="false" customHeight="false" outlineLevel="0" collapsed="false">
      <c r="A123" s="2" t="s">
        <v>667</v>
      </c>
      <c r="B123" s="2" t="s">
        <v>621</v>
      </c>
      <c r="C123" s="2" t="s">
        <v>618</v>
      </c>
      <c r="D123" s="2" t="s">
        <v>633</v>
      </c>
      <c r="E123" s="2" t="s">
        <v>257</v>
      </c>
      <c r="F123" s="2" t="n">
        <v>3790</v>
      </c>
      <c r="G123" s="2" t="n">
        <v>20</v>
      </c>
      <c r="H123" s="2" t="n">
        <v>-158.8</v>
      </c>
      <c r="I123" s="2" t="n">
        <v>3.762</v>
      </c>
      <c r="J123" s="2" t="n">
        <v>3.762</v>
      </c>
      <c r="K123" s="2" t="n">
        <v>3.762</v>
      </c>
      <c r="L123" s="2" t="n">
        <v>0.163</v>
      </c>
      <c r="M123" s="4" t="s">
        <v>71</v>
      </c>
      <c r="N123" s="2" t="n">
        <f aca="false">MAX(0.1,ROUNDUP(ROUND(I123,6)*10,0)/10)</f>
        <v>3.8</v>
      </c>
      <c r="O123" s="2" t="n">
        <f aca="false">MAX(0.1,ROUNDUP(ROUND(K123,6)*10,0)/10)</f>
        <v>3.8</v>
      </c>
      <c r="P123" s="2" t="str">
        <f aca="false">IF(N123&lt;&gt;O123,"yes","no")</f>
        <v>no</v>
      </c>
      <c r="Q123" s="2"/>
    </row>
    <row r="124" customFormat="false" ht="15" hidden="false" customHeight="false" outlineLevel="0" collapsed="false">
      <c r="A124" s="2" t="s">
        <v>668</v>
      </c>
      <c r="B124" s="2" t="s">
        <v>621</v>
      </c>
      <c r="C124" s="2" t="s">
        <v>618</v>
      </c>
      <c r="D124" s="2" t="s">
        <v>633</v>
      </c>
      <c r="E124" s="2" t="s">
        <v>257</v>
      </c>
      <c r="F124" s="2" t="n">
        <v>4130</v>
      </c>
      <c r="G124" s="2" t="n">
        <v>20</v>
      </c>
      <c r="H124" s="2" t="n">
        <v>-203.23</v>
      </c>
      <c r="I124" s="2" t="n">
        <v>4.276</v>
      </c>
      <c r="J124" s="2" t="n">
        <v>4.276</v>
      </c>
      <c r="K124" s="2" t="n">
        <v>4.276</v>
      </c>
      <c r="L124" s="2" t="n">
        <v>0.166</v>
      </c>
      <c r="M124" s="4" t="s">
        <v>71</v>
      </c>
      <c r="N124" s="2" t="n">
        <f aca="false">MAX(0.1,ROUNDUP(ROUND(I124,6)*10,0)/10)</f>
        <v>4.3</v>
      </c>
      <c r="O124" s="2" t="n">
        <f aca="false">MAX(0.1,ROUNDUP(ROUND(K124,6)*10,0)/10)</f>
        <v>4.3</v>
      </c>
      <c r="P124" s="2" t="str">
        <f aca="false">IF(N124&lt;&gt;O124,"yes","no")</f>
        <v>no</v>
      </c>
      <c r="Q124" s="2"/>
    </row>
    <row r="125" customFormat="false" ht="15" hidden="false" customHeight="false" outlineLevel="0" collapsed="false">
      <c r="A125" s="2" t="s">
        <v>669</v>
      </c>
      <c r="B125" s="2" t="s">
        <v>621</v>
      </c>
      <c r="C125" s="2" t="s">
        <v>618</v>
      </c>
      <c r="D125" s="2" t="s">
        <v>633</v>
      </c>
      <c r="E125" s="2" t="s">
        <v>257</v>
      </c>
      <c r="F125" s="2" t="n">
        <v>4100</v>
      </c>
      <c r="G125" s="2" t="n">
        <v>20</v>
      </c>
      <c r="H125" s="2" t="n">
        <v>-199.77</v>
      </c>
      <c r="I125" s="2" t="n">
        <v>4.232</v>
      </c>
      <c r="J125" s="2" t="n">
        <v>4.232</v>
      </c>
      <c r="K125" s="2" t="n">
        <v>4.232</v>
      </c>
      <c r="L125" s="2" t="n">
        <v>0.1665</v>
      </c>
      <c r="M125" s="4" t="s">
        <v>71</v>
      </c>
      <c r="N125" s="2" t="n">
        <f aca="false">MAX(0.1,ROUNDUP(ROUND(I125,6)*10,0)/10)</f>
        <v>4.3</v>
      </c>
      <c r="O125" s="2" t="n">
        <f aca="false">MAX(0.1,ROUNDUP(ROUND(K125,6)*10,0)/10)</f>
        <v>4.3</v>
      </c>
      <c r="P125" s="2" t="str">
        <f aca="false">IF(N125&lt;&gt;O125,"yes","no")</f>
        <v>no</v>
      </c>
      <c r="Q125" s="2"/>
    </row>
    <row r="126" customFormat="false" ht="15" hidden="false" customHeight="false" outlineLevel="0" collapsed="false">
      <c r="A126" s="2" t="s">
        <v>670</v>
      </c>
      <c r="B126" s="2" t="s">
        <v>629</v>
      </c>
      <c r="C126" s="2" t="s">
        <v>618</v>
      </c>
      <c r="D126" s="2" t="s">
        <v>633</v>
      </c>
      <c r="E126" s="2" t="s">
        <v>257</v>
      </c>
      <c r="F126" s="2" t="n">
        <v>2780</v>
      </c>
      <c r="G126" s="2" t="n">
        <v>15</v>
      </c>
      <c r="H126" s="2" t="n">
        <v>-130.31</v>
      </c>
      <c r="I126" s="2" t="n">
        <v>2.505</v>
      </c>
      <c r="J126" s="2" t="n">
        <v>2.505</v>
      </c>
      <c r="K126" s="2" t="n">
        <v>2.505</v>
      </c>
      <c r="L126" s="2" t="n">
        <v>0.1635</v>
      </c>
      <c r="M126" s="4" t="s">
        <v>71</v>
      </c>
      <c r="N126" s="2" t="n">
        <f aca="false">MAX(0.1,ROUNDUP(ROUND(I126,6)*10,0)/10)</f>
        <v>2.6</v>
      </c>
      <c r="O126" s="2" t="n">
        <f aca="false">MAX(0.1,ROUNDUP(ROUND(K126,6)*10,0)/10)</f>
        <v>2.6</v>
      </c>
      <c r="P126" s="2" t="str">
        <f aca="false">IF(N126&lt;&gt;O126,"yes","no")</f>
        <v>no</v>
      </c>
      <c r="Q126" s="2"/>
    </row>
    <row r="128" customFormat="false" ht="15" hidden="false" customHeight="false" outlineLevel="0" collapsed="false">
      <c r="A128" s="1" t="s">
        <v>671</v>
      </c>
      <c r="I128" s="2" t="n">
        <f aca="false">COUNTA(A2:A126)</f>
        <v>125</v>
      </c>
    </row>
    <row r="129" customFormat="false" ht="15" hidden="false" customHeight="false" outlineLevel="0" collapsed="false">
      <c r="A129" s="1" t="s">
        <v>672</v>
      </c>
      <c r="I129" s="2" t="n">
        <f aca="false">COUNTIFS(M2:M126,"yes")</f>
        <v>111</v>
      </c>
    </row>
    <row r="130" customFormat="false" ht="15" hidden="false" customHeight="false" outlineLevel="0" collapsed="false">
      <c r="A130" s="1" t="s">
        <v>673</v>
      </c>
      <c r="I130" s="2" t="n">
        <f aca="false">COUNTIFS(M2:M126,"yes",E2:E126,"14C*")</f>
        <v>79</v>
      </c>
    </row>
    <row r="131" customFormat="false" ht="15" hidden="false" customHeight="false" outlineLevel="0" collapsed="false">
      <c r="A131" s="1" t="s">
        <v>674</v>
      </c>
      <c r="I131" s="2" t="n">
        <f aca="false">COUNTIFS(M2:M126,"yes",E2:E126,"U*")</f>
        <v>32</v>
      </c>
    </row>
    <row r="132" customFormat="false" ht="15" hidden="false" customHeight="false" outlineLevel="0" collapsed="false">
      <c r="A132" s="1" t="s">
        <v>675</v>
      </c>
      <c r="I132" s="2" t="n">
        <f aca="false">COUNTIFS(M2:M126,"yes",P2:P126,"yes")</f>
        <v>7</v>
      </c>
    </row>
    <row r="135" customFormat="false" ht="15" hidden="false" customHeight="false" outlineLevel="0" collapsed="false">
      <c r="A135" s="7" t="s">
        <v>676</v>
      </c>
    </row>
    <row r="136" customFormat="false" ht="15" hidden="false" customHeight="false" outlineLevel="0" collapsed="false">
      <c r="A136" s="7" t="s">
        <v>677</v>
      </c>
    </row>
    <row r="137" customFormat="false" ht="15" hidden="false" customHeight="false" outlineLevel="0" collapsed="false">
      <c r="A137" s="7" t="s">
        <v>678</v>
      </c>
    </row>
    <row r="138" customFormat="false" ht="15" hidden="false" customHeight="false" outlineLevel="0" collapsed="false">
      <c r="A138" s="7" t="s">
        <v>679</v>
      </c>
    </row>
    <row r="139" customFormat="false" ht="15" hidden="false" customHeight="false" outlineLevel="0" collapsed="false">
      <c r="A139" s="7" t="s">
        <v>680</v>
      </c>
    </row>
    <row r="140" customFormat="false" ht="15" hidden="false" customHeight="false" outlineLevel="0" collapsed="false">
      <c r="A140" s="7" t="s">
        <v>681</v>
      </c>
    </row>
    <row r="141" customFormat="false" ht="15" hidden="false" customHeight="false" outlineLevel="0" collapsed="false">
      <c r="A141" s="7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3" t="s">
        <v>683</v>
      </c>
      <c r="B1" s="3" t="s">
        <v>504</v>
      </c>
      <c r="C1" s="3" t="s">
        <v>684</v>
      </c>
      <c r="D1" s="3" t="s">
        <v>17</v>
      </c>
      <c r="E1" s="3" t="s">
        <v>685</v>
      </c>
      <c r="F1" s="3" t="s">
        <v>686</v>
      </c>
      <c r="G1" s="3" t="s">
        <v>687</v>
      </c>
      <c r="H1" s="3" t="s">
        <v>27</v>
      </c>
      <c r="I1" s="3" t="s">
        <v>688</v>
      </c>
      <c r="J1" s="3" t="s">
        <v>252</v>
      </c>
      <c r="K1" s="3" t="s">
        <v>689</v>
      </c>
      <c r="L1" s="3" t="s">
        <v>690</v>
      </c>
      <c r="M1" s="3" t="s">
        <v>247</v>
      </c>
      <c r="N1" s="3" t="s">
        <v>691</v>
      </c>
      <c r="O1" s="3" t="s">
        <v>692</v>
      </c>
      <c r="P1" s="3" t="s">
        <v>693</v>
      </c>
      <c r="Q1" s="3" t="s">
        <v>251</v>
      </c>
      <c r="R1" s="3" t="s">
        <v>36</v>
      </c>
      <c r="S1" s="3" t="s">
        <v>694</v>
      </c>
      <c r="T1" s="3" t="s">
        <v>695</v>
      </c>
      <c r="U1" s="3" t="s">
        <v>696</v>
      </c>
      <c r="V1" s="3" t="s">
        <v>697</v>
      </c>
    </row>
    <row r="2" customFormat="false" ht="15" hidden="false" customHeight="false" outlineLevel="0" collapsed="false">
      <c r="A2" s="2" t="s">
        <v>698</v>
      </c>
      <c r="B2" s="2" t="s">
        <v>37</v>
      </c>
      <c r="C2" s="2" t="s">
        <v>37</v>
      </c>
      <c r="D2" s="2" t="s">
        <v>39</v>
      </c>
      <c r="E2" s="2" t="s">
        <v>699</v>
      </c>
      <c r="F2" s="2" t="s">
        <v>699</v>
      </c>
      <c r="G2" s="2" t="s">
        <v>393</v>
      </c>
      <c r="H2" s="2" t="n">
        <v>0.06532</v>
      </c>
      <c r="I2" s="2" t="n">
        <v>2021</v>
      </c>
      <c r="J2" s="2" t="n">
        <v>-0.0056799999999999</v>
      </c>
      <c r="K2" s="2" t="n">
        <v>0.00011</v>
      </c>
      <c r="L2" s="2"/>
      <c r="M2" s="2"/>
      <c r="N2" s="2"/>
      <c r="O2" s="2"/>
      <c r="P2" s="2"/>
      <c r="Q2" s="2" t="s">
        <v>71</v>
      </c>
      <c r="R2" s="2" t="s">
        <v>700</v>
      </c>
      <c r="S2" s="2"/>
      <c r="T2" s="2"/>
      <c r="U2" s="2"/>
      <c r="V2" s="2" t="s">
        <v>71</v>
      </c>
    </row>
    <row r="3" customFormat="false" ht="15" hidden="false" customHeight="false" outlineLevel="0" collapsed="false">
      <c r="A3" s="2" t="s">
        <v>698</v>
      </c>
      <c r="B3" s="2" t="s">
        <v>44</v>
      </c>
      <c r="C3" s="2" t="s">
        <v>44</v>
      </c>
      <c r="D3" s="2" t="s">
        <v>39</v>
      </c>
      <c r="E3" s="2" t="s">
        <v>699</v>
      </c>
      <c r="F3" s="2" t="s">
        <v>699</v>
      </c>
      <c r="G3" s="2" t="s">
        <v>393</v>
      </c>
      <c r="H3" s="2" t="n">
        <v>0.07449</v>
      </c>
      <c r="I3" s="2" t="n">
        <v>2021</v>
      </c>
      <c r="J3" s="2" t="n">
        <v>0.00349</v>
      </c>
      <c r="K3" s="2" t="n">
        <v>0.00045</v>
      </c>
      <c r="L3" s="2"/>
      <c r="M3" s="2"/>
      <c r="N3" s="2"/>
      <c r="O3" s="2"/>
      <c r="P3" s="2"/>
      <c r="Q3" s="2" t="s">
        <v>71</v>
      </c>
      <c r="R3" s="2" t="s">
        <v>700</v>
      </c>
      <c r="S3" s="2"/>
      <c r="T3" s="2"/>
      <c r="U3" s="2"/>
      <c r="V3" s="2" t="s">
        <v>71</v>
      </c>
    </row>
    <row r="4" customFormat="false" ht="15" hidden="false" customHeight="false" outlineLevel="0" collapsed="false">
      <c r="A4" s="2" t="s">
        <v>698</v>
      </c>
      <c r="B4" s="2" t="s">
        <v>46</v>
      </c>
      <c r="C4" s="2" t="s">
        <v>46</v>
      </c>
      <c r="D4" s="2" t="s">
        <v>48</v>
      </c>
      <c r="E4" s="2" t="s">
        <v>699</v>
      </c>
      <c r="F4" s="2" t="s">
        <v>699</v>
      </c>
      <c r="G4" s="2" t="s">
        <v>393</v>
      </c>
      <c r="H4" s="2" t="n">
        <v>0.08242</v>
      </c>
      <c r="I4" s="2" t="n">
        <v>2021</v>
      </c>
      <c r="J4" s="2" t="n">
        <v>0.01142</v>
      </c>
      <c r="K4" s="2" t="n">
        <v>0.00043</v>
      </c>
      <c r="L4" s="2"/>
      <c r="M4" s="2"/>
      <c r="N4" s="2"/>
      <c r="O4" s="2"/>
      <c r="P4" s="2"/>
      <c r="Q4" s="2" t="s">
        <v>71</v>
      </c>
      <c r="R4" s="2" t="s">
        <v>700</v>
      </c>
      <c r="S4" s="2"/>
      <c r="T4" s="2"/>
      <c r="U4" s="2"/>
      <c r="V4" s="2" t="s">
        <v>43</v>
      </c>
    </row>
    <row r="5" customFormat="false" ht="15" hidden="false" customHeight="false" outlineLevel="0" collapsed="false">
      <c r="A5" s="2" t="s">
        <v>698</v>
      </c>
      <c r="B5" s="2" t="s">
        <v>51</v>
      </c>
      <c r="C5" s="2" t="s">
        <v>51</v>
      </c>
      <c r="D5" s="2" t="s">
        <v>39</v>
      </c>
      <c r="E5" s="2" t="s">
        <v>699</v>
      </c>
      <c r="F5" s="2" t="s">
        <v>699</v>
      </c>
      <c r="G5" s="2" t="s">
        <v>393</v>
      </c>
      <c r="H5" s="2" t="n">
        <v>0.08433</v>
      </c>
      <c r="I5" s="2" t="n">
        <v>2021</v>
      </c>
      <c r="J5" s="2" t="n">
        <v>0.01333</v>
      </c>
      <c r="K5" s="2" t="n">
        <v>0.00955</v>
      </c>
      <c r="L5" s="2"/>
      <c r="M5" s="2"/>
      <c r="N5" s="2"/>
      <c r="O5" s="2"/>
      <c r="P5" s="2"/>
      <c r="Q5" s="2" t="s">
        <v>71</v>
      </c>
      <c r="R5" s="2" t="s">
        <v>700</v>
      </c>
      <c r="S5" s="2"/>
      <c r="T5" s="2"/>
      <c r="U5" s="2"/>
      <c r="V5" s="2" t="s">
        <v>71</v>
      </c>
    </row>
    <row r="6" customFormat="false" ht="15" hidden="false" customHeight="false" outlineLevel="0" collapsed="false">
      <c r="A6" s="2" t="s">
        <v>698</v>
      </c>
      <c r="B6" s="2" t="s">
        <v>52</v>
      </c>
      <c r="C6" s="2" t="s">
        <v>52</v>
      </c>
      <c r="D6" s="2" t="s">
        <v>39</v>
      </c>
      <c r="E6" s="2" t="s">
        <v>699</v>
      </c>
      <c r="F6" s="2" t="s">
        <v>699</v>
      </c>
      <c r="G6" s="2" t="s">
        <v>393</v>
      </c>
      <c r="H6" s="2" t="n">
        <v>0.09225</v>
      </c>
      <c r="I6" s="2" t="n">
        <v>2021</v>
      </c>
      <c r="J6" s="2" t="n">
        <v>0.02125</v>
      </c>
      <c r="K6" s="2" t="n">
        <v>0.00955</v>
      </c>
      <c r="L6" s="2"/>
      <c r="M6" s="2"/>
      <c r="N6" s="2"/>
      <c r="O6" s="2"/>
      <c r="P6" s="2"/>
      <c r="Q6" s="2" t="s">
        <v>71</v>
      </c>
      <c r="R6" s="2" t="s">
        <v>700</v>
      </c>
      <c r="S6" s="2"/>
      <c r="T6" s="2"/>
      <c r="U6" s="2"/>
      <c r="V6" s="2" t="s">
        <v>71</v>
      </c>
    </row>
    <row r="7" customFormat="false" ht="15" hidden="false" customHeight="false" outlineLevel="0" collapsed="false">
      <c r="A7" s="2" t="s">
        <v>698</v>
      </c>
      <c r="B7" s="2" t="s">
        <v>54</v>
      </c>
      <c r="C7" s="2" t="s">
        <v>54</v>
      </c>
      <c r="D7" s="2" t="s">
        <v>39</v>
      </c>
      <c r="E7" s="2" t="s">
        <v>699</v>
      </c>
      <c r="F7" s="2" t="s">
        <v>699</v>
      </c>
      <c r="G7" s="2" t="s">
        <v>393</v>
      </c>
      <c r="H7" s="2" t="n">
        <v>0.10034</v>
      </c>
      <c r="I7" s="2" t="n">
        <v>2021</v>
      </c>
      <c r="J7" s="2" t="n">
        <v>0.02934</v>
      </c>
      <c r="K7" s="2" t="n">
        <v>0.00952</v>
      </c>
      <c r="L7" s="2"/>
      <c r="M7" s="2"/>
      <c r="N7" s="2"/>
      <c r="O7" s="2"/>
      <c r="P7" s="2"/>
      <c r="Q7" s="2" t="s">
        <v>71</v>
      </c>
      <c r="R7" s="2" t="s">
        <v>700</v>
      </c>
      <c r="S7" s="2"/>
      <c r="T7" s="2"/>
      <c r="U7" s="2"/>
      <c r="V7" s="2" t="s">
        <v>71</v>
      </c>
    </row>
    <row r="8" customFormat="false" ht="15" hidden="false" customHeight="false" outlineLevel="0" collapsed="false">
      <c r="A8" s="2" t="s">
        <v>698</v>
      </c>
      <c r="B8" s="2" t="s">
        <v>55</v>
      </c>
      <c r="C8" s="2" t="s">
        <v>55</v>
      </c>
      <c r="D8" s="2" t="s">
        <v>39</v>
      </c>
      <c r="E8" s="2" t="s">
        <v>699</v>
      </c>
      <c r="F8" s="2" t="s">
        <v>699</v>
      </c>
      <c r="G8" s="2" t="s">
        <v>393</v>
      </c>
      <c r="H8" s="2" t="n">
        <v>0.11059</v>
      </c>
      <c r="I8" s="2" t="n">
        <v>2021</v>
      </c>
      <c r="J8" s="2" t="n">
        <v>0.03959</v>
      </c>
      <c r="K8" s="2" t="n">
        <v>0.0095</v>
      </c>
      <c r="L8" s="2"/>
      <c r="M8" s="2"/>
      <c r="N8" s="2"/>
      <c r="O8" s="2"/>
      <c r="P8" s="2"/>
      <c r="Q8" s="2" t="s">
        <v>71</v>
      </c>
      <c r="R8" s="2" t="s">
        <v>700</v>
      </c>
      <c r="S8" s="2"/>
      <c r="T8" s="2"/>
      <c r="U8" s="2"/>
      <c r="V8" s="2" t="s">
        <v>71</v>
      </c>
    </row>
    <row r="9" customFormat="false" ht="15" hidden="false" customHeight="false" outlineLevel="0" collapsed="false">
      <c r="A9" s="2" t="s">
        <v>698</v>
      </c>
      <c r="B9" s="2" t="s">
        <v>57</v>
      </c>
      <c r="C9" s="2" t="s">
        <v>57</v>
      </c>
      <c r="D9" s="2" t="s">
        <v>39</v>
      </c>
      <c r="E9" s="2" t="s">
        <v>699</v>
      </c>
      <c r="F9" s="2" t="s">
        <v>699</v>
      </c>
      <c r="G9" s="2" t="s">
        <v>393</v>
      </c>
      <c r="H9" s="2" t="n">
        <v>0.1295</v>
      </c>
      <c r="I9" s="2" t="n">
        <v>2021</v>
      </c>
      <c r="J9" s="2" t="n">
        <v>0.0585</v>
      </c>
      <c r="K9" s="2" t="n">
        <v>0.0103</v>
      </c>
      <c r="L9" s="2"/>
      <c r="M9" s="2"/>
      <c r="N9" s="2"/>
      <c r="O9" s="2"/>
      <c r="P9" s="2"/>
      <c r="Q9" s="2" t="s">
        <v>71</v>
      </c>
      <c r="R9" s="2" t="s">
        <v>700</v>
      </c>
      <c r="S9" s="2"/>
      <c r="T9" s="2"/>
      <c r="U9" s="2"/>
      <c r="V9" s="2" t="s">
        <v>71</v>
      </c>
    </row>
    <row r="10" customFormat="false" ht="15" hidden="false" customHeight="false" outlineLevel="0" collapsed="false">
      <c r="A10" s="2" t="s">
        <v>698</v>
      </c>
      <c r="B10" s="2" t="s">
        <v>60</v>
      </c>
      <c r="C10" s="2" t="s">
        <v>60</v>
      </c>
      <c r="D10" s="2" t="s">
        <v>39</v>
      </c>
      <c r="E10" s="2" t="s">
        <v>699</v>
      </c>
      <c r="F10" s="2" t="s">
        <v>699</v>
      </c>
      <c r="G10" s="2" t="s">
        <v>393</v>
      </c>
      <c r="H10" s="2" t="n">
        <v>0.1367</v>
      </c>
      <c r="I10" s="2" t="n">
        <v>2021</v>
      </c>
      <c r="J10" s="2" t="n">
        <v>0.0657</v>
      </c>
      <c r="K10" s="2" t="n">
        <v>0.0048</v>
      </c>
      <c r="L10" s="2"/>
      <c r="M10" s="2"/>
      <c r="N10" s="2"/>
      <c r="O10" s="2"/>
      <c r="P10" s="2"/>
      <c r="Q10" s="2" t="s">
        <v>71</v>
      </c>
      <c r="R10" s="2" t="s">
        <v>700</v>
      </c>
      <c r="S10" s="2"/>
      <c r="T10" s="2"/>
      <c r="U10" s="2"/>
      <c r="V10" s="2" t="s">
        <v>71</v>
      </c>
    </row>
    <row r="11" customFormat="false" ht="15" hidden="false" customHeight="false" outlineLevel="0" collapsed="false">
      <c r="A11" s="2" t="s">
        <v>698</v>
      </c>
      <c r="B11" s="2" t="s">
        <v>62</v>
      </c>
      <c r="C11" s="2" t="s">
        <v>62</v>
      </c>
      <c r="D11" s="2" t="s">
        <v>39</v>
      </c>
      <c r="E11" s="2" t="s">
        <v>699</v>
      </c>
      <c r="F11" s="2" t="s">
        <v>699</v>
      </c>
      <c r="G11" s="2" t="s">
        <v>393</v>
      </c>
      <c r="H11" s="2" t="n">
        <v>0.1414</v>
      </c>
      <c r="I11" s="2" t="n">
        <v>2021</v>
      </c>
      <c r="J11" s="2" t="n">
        <v>0.0704</v>
      </c>
      <c r="K11" s="2" t="n">
        <v>0.0097</v>
      </c>
      <c r="L11" s="2"/>
      <c r="M11" s="2"/>
      <c r="N11" s="2"/>
      <c r="O11" s="2"/>
      <c r="P11" s="2"/>
      <c r="Q11" s="2" t="s">
        <v>71</v>
      </c>
      <c r="R11" s="2" t="s">
        <v>700</v>
      </c>
      <c r="S11" s="2"/>
      <c r="T11" s="2"/>
      <c r="U11" s="2"/>
      <c r="V11" s="2" t="s">
        <v>71</v>
      </c>
    </row>
    <row r="12" customFormat="false" ht="15" hidden="false" customHeight="false" outlineLevel="0" collapsed="false">
      <c r="A12" s="2" t="s">
        <v>698</v>
      </c>
      <c r="B12" s="2" t="s">
        <v>64</v>
      </c>
      <c r="C12" s="2" t="s">
        <v>64</v>
      </c>
      <c r="D12" s="2" t="s">
        <v>39</v>
      </c>
      <c r="E12" s="2" t="s">
        <v>699</v>
      </c>
      <c r="F12" s="2" t="s">
        <v>699</v>
      </c>
      <c r="G12" s="2" t="s">
        <v>393</v>
      </c>
      <c r="H12" s="2" t="n">
        <v>0.14721</v>
      </c>
      <c r="I12" s="2" t="n">
        <v>2021</v>
      </c>
      <c r="J12" s="2" t="n">
        <v>0.07621</v>
      </c>
      <c r="K12" s="2" t="n">
        <v>0.00953</v>
      </c>
      <c r="L12" s="2"/>
      <c r="M12" s="2"/>
      <c r="N12" s="2"/>
      <c r="O12" s="2"/>
      <c r="P12" s="2"/>
      <c r="Q12" s="2" t="s">
        <v>71</v>
      </c>
      <c r="R12" s="2" t="s">
        <v>700</v>
      </c>
      <c r="S12" s="2"/>
      <c r="T12" s="2"/>
      <c r="U12" s="2"/>
      <c r="V12" s="2" t="s">
        <v>71</v>
      </c>
    </row>
    <row r="13" customFormat="false" ht="15" hidden="false" customHeight="false" outlineLevel="0" collapsed="false">
      <c r="A13" s="2" t="s">
        <v>698</v>
      </c>
      <c r="B13" s="2" t="s">
        <v>66</v>
      </c>
      <c r="C13" s="2" t="s">
        <v>66</v>
      </c>
      <c r="D13" s="2" t="s">
        <v>39</v>
      </c>
      <c r="E13" s="2" t="s">
        <v>699</v>
      </c>
      <c r="F13" s="2" t="s">
        <v>699</v>
      </c>
      <c r="G13" s="2" t="s">
        <v>393</v>
      </c>
      <c r="H13" s="2" t="n">
        <v>0.15052</v>
      </c>
      <c r="I13" s="2" t="n">
        <v>2021</v>
      </c>
      <c r="J13" s="2" t="n">
        <v>0.07952</v>
      </c>
      <c r="K13" s="2" t="n">
        <v>0.00958</v>
      </c>
      <c r="L13" s="2"/>
      <c r="M13" s="2"/>
      <c r="N13" s="2"/>
      <c r="O13" s="2"/>
      <c r="P13" s="2"/>
      <c r="Q13" s="2" t="s">
        <v>71</v>
      </c>
      <c r="R13" s="2" t="s">
        <v>700</v>
      </c>
      <c r="S13" s="2"/>
      <c r="T13" s="2"/>
      <c r="U13" s="2"/>
      <c r="V13" s="2" t="s">
        <v>71</v>
      </c>
    </row>
    <row r="14" customFormat="false" ht="15" hidden="false" customHeight="false" outlineLevel="0" collapsed="false">
      <c r="A14" s="2" t="s">
        <v>698</v>
      </c>
      <c r="B14" s="2" t="s">
        <v>67</v>
      </c>
      <c r="C14" s="2" t="s">
        <v>67</v>
      </c>
      <c r="D14" s="2" t="s">
        <v>39</v>
      </c>
      <c r="E14" s="2" t="s">
        <v>699</v>
      </c>
      <c r="F14" s="2" t="s">
        <v>699</v>
      </c>
      <c r="G14" s="2" t="s">
        <v>393</v>
      </c>
      <c r="H14" s="2" t="n">
        <v>0.1663</v>
      </c>
      <c r="I14" s="2" t="n">
        <v>2021</v>
      </c>
      <c r="J14" s="2" t="n">
        <v>0.0953</v>
      </c>
      <c r="K14" s="2" t="n">
        <v>0.0187</v>
      </c>
      <c r="L14" s="2"/>
      <c r="M14" s="2"/>
      <c r="N14" s="2"/>
      <c r="O14" s="2"/>
      <c r="P14" s="2"/>
      <c r="Q14" s="2" t="s">
        <v>71</v>
      </c>
      <c r="R14" s="2" t="s">
        <v>700</v>
      </c>
      <c r="S14" s="2"/>
      <c r="T14" s="2"/>
      <c r="U14" s="2"/>
      <c r="V14" s="2" t="s">
        <v>71</v>
      </c>
    </row>
    <row r="15" customFormat="false" ht="15" hidden="false" customHeight="false" outlineLevel="0" collapsed="false">
      <c r="A15" s="2" t="s">
        <v>698</v>
      </c>
      <c r="B15" s="2" t="s">
        <v>68</v>
      </c>
      <c r="C15" s="2" t="s">
        <v>68</v>
      </c>
      <c r="D15" s="2" t="s">
        <v>48</v>
      </c>
      <c r="E15" s="2" t="s">
        <v>699</v>
      </c>
      <c r="F15" s="2" t="s">
        <v>699</v>
      </c>
      <c r="G15" s="2" t="s">
        <v>393</v>
      </c>
      <c r="H15" s="2" t="n">
        <v>0.1692</v>
      </c>
      <c r="I15" s="2" t="n">
        <v>2021</v>
      </c>
      <c r="J15" s="2" t="n">
        <v>0.0982</v>
      </c>
      <c r="K15" s="2" t="n">
        <v>0.0098</v>
      </c>
      <c r="L15" s="2"/>
      <c r="M15" s="2"/>
      <c r="N15" s="2"/>
      <c r="O15" s="2"/>
      <c r="P15" s="2"/>
      <c r="Q15" s="2" t="s">
        <v>71</v>
      </c>
      <c r="R15" s="2" t="s">
        <v>700</v>
      </c>
      <c r="S15" s="2"/>
      <c r="T15" s="2"/>
      <c r="U15" s="2"/>
      <c r="V15" s="2" t="s">
        <v>43</v>
      </c>
    </row>
    <row r="16" customFormat="false" ht="15" hidden="false" customHeight="false" outlineLevel="0" collapsed="false">
      <c r="A16" s="2" t="s">
        <v>698</v>
      </c>
      <c r="B16" s="2" t="s">
        <v>73</v>
      </c>
      <c r="C16" s="2" t="s">
        <v>73</v>
      </c>
      <c r="D16" s="2" t="s">
        <v>39</v>
      </c>
      <c r="E16" s="2" t="s">
        <v>699</v>
      </c>
      <c r="F16" s="2" t="s">
        <v>699</v>
      </c>
      <c r="G16" s="2" t="s">
        <v>393</v>
      </c>
      <c r="H16" s="2" t="n">
        <v>0.1693</v>
      </c>
      <c r="I16" s="2" t="n">
        <v>2021</v>
      </c>
      <c r="J16" s="2" t="n">
        <v>0.0983</v>
      </c>
      <c r="K16" s="2" t="n">
        <v>0.0021</v>
      </c>
      <c r="L16" s="2"/>
      <c r="M16" s="2"/>
      <c r="N16" s="2"/>
      <c r="O16" s="2"/>
      <c r="P16" s="2"/>
      <c r="Q16" s="2" t="s">
        <v>71</v>
      </c>
      <c r="R16" s="2" t="s">
        <v>700</v>
      </c>
      <c r="S16" s="2"/>
      <c r="T16" s="2"/>
      <c r="U16" s="2"/>
      <c r="V16" s="2" t="s">
        <v>71</v>
      </c>
    </row>
    <row r="17" customFormat="false" ht="15" hidden="false" customHeight="false" outlineLevel="0" collapsed="false">
      <c r="A17" s="2" t="s">
        <v>698</v>
      </c>
      <c r="B17" s="2" t="s">
        <v>76</v>
      </c>
      <c r="C17" s="2" t="s">
        <v>76</v>
      </c>
      <c r="D17" s="2" t="s">
        <v>39</v>
      </c>
      <c r="E17" s="2" t="s">
        <v>699</v>
      </c>
      <c r="F17" s="2" t="s">
        <v>699</v>
      </c>
      <c r="G17" s="2" t="s">
        <v>393</v>
      </c>
      <c r="H17" s="2" t="n">
        <v>0.18393</v>
      </c>
      <c r="I17" s="2" t="n">
        <v>2021</v>
      </c>
      <c r="J17" s="2" t="n">
        <v>0.11293</v>
      </c>
      <c r="K17" s="2" t="n">
        <v>0.00955</v>
      </c>
      <c r="L17" s="2"/>
      <c r="M17" s="2"/>
      <c r="N17" s="2"/>
      <c r="O17" s="2"/>
      <c r="P17" s="2"/>
      <c r="Q17" s="2" t="s">
        <v>71</v>
      </c>
      <c r="R17" s="2" t="s">
        <v>700</v>
      </c>
      <c r="S17" s="2"/>
      <c r="T17" s="2"/>
      <c r="U17" s="2"/>
      <c r="V17" s="2" t="s">
        <v>71</v>
      </c>
    </row>
    <row r="18" customFormat="false" ht="15" hidden="false" customHeight="false" outlineLevel="0" collapsed="false">
      <c r="A18" s="2" t="s">
        <v>698</v>
      </c>
      <c r="B18" s="2" t="s">
        <v>77</v>
      </c>
      <c r="C18" s="2" t="s">
        <v>77</v>
      </c>
      <c r="D18" s="2" t="s">
        <v>39</v>
      </c>
      <c r="E18" s="2" t="s">
        <v>699</v>
      </c>
      <c r="F18" s="2" t="s">
        <v>699</v>
      </c>
      <c r="G18" s="2" t="s">
        <v>393</v>
      </c>
      <c r="H18" s="2" t="n">
        <v>0.2172</v>
      </c>
      <c r="I18" s="2" t="n">
        <v>2021</v>
      </c>
      <c r="J18" s="2" t="n">
        <v>0.1462</v>
      </c>
      <c r="K18" s="2" t="n">
        <v>0.0157</v>
      </c>
      <c r="L18" s="2"/>
      <c r="M18" s="2"/>
      <c r="N18" s="2"/>
      <c r="O18" s="2"/>
      <c r="P18" s="2"/>
      <c r="Q18" s="2" t="s">
        <v>71</v>
      </c>
      <c r="R18" s="2" t="s">
        <v>700</v>
      </c>
      <c r="S18" s="2"/>
      <c r="T18" s="2"/>
      <c r="U18" s="2"/>
      <c r="V18" s="2" t="s">
        <v>71</v>
      </c>
    </row>
    <row r="19" customFormat="false" ht="15" hidden="false" customHeight="false" outlineLevel="0" collapsed="false">
      <c r="A19" s="2" t="s">
        <v>698</v>
      </c>
      <c r="B19" s="2" t="s">
        <v>78</v>
      </c>
      <c r="C19" s="2" t="s">
        <v>78</v>
      </c>
      <c r="D19" s="2" t="s">
        <v>39</v>
      </c>
      <c r="E19" s="2" t="s">
        <v>699</v>
      </c>
      <c r="F19" s="2" t="s">
        <v>699</v>
      </c>
      <c r="G19" s="2" t="s">
        <v>393</v>
      </c>
      <c r="H19" s="2" t="n">
        <v>0.21768</v>
      </c>
      <c r="I19" s="2" t="n">
        <v>2021</v>
      </c>
      <c r="J19" s="2" t="n">
        <v>0.14668</v>
      </c>
      <c r="K19" s="2" t="n">
        <v>0.00972</v>
      </c>
      <c r="L19" s="2"/>
      <c r="M19" s="2"/>
      <c r="N19" s="2"/>
      <c r="O19" s="2"/>
      <c r="P19" s="2"/>
      <c r="Q19" s="2" t="s">
        <v>71</v>
      </c>
      <c r="R19" s="2" t="s">
        <v>700</v>
      </c>
      <c r="S19" s="2"/>
      <c r="T19" s="2"/>
      <c r="U19" s="2"/>
      <c r="V19" s="2" t="s">
        <v>71</v>
      </c>
    </row>
    <row r="20" customFormat="false" ht="15" hidden="false" customHeight="false" outlineLevel="0" collapsed="false">
      <c r="A20" s="2" t="s">
        <v>698</v>
      </c>
      <c r="B20" s="2" t="s">
        <v>77</v>
      </c>
      <c r="C20" s="2" t="s">
        <v>77</v>
      </c>
      <c r="D20" s="2" t="s">
        <v>39</v>
      </c>
      <c r="E20" s="2" t="s">
        <v>699</v>
      </c>
      <c r="F20" s="2" t="s">
        <v>699</v>
      </c>
      <c r="G20" s="2" t="s">
        <v>393</v>
      </c>
      <c r="H20" s="2" t="n">
        <v>0.2453</v>
      </c>
      <c r="I20" s="2" t="n">
        <v>2021</v>
      </c>
      <c r="J20" s="2" t="n">
        <v>0.1743</v>
      </c>
      <c r="K20" s="2" t="n">
        <v>0.0315</v>
      </c>
      <c r="L20" s="2"/>
      <c r="M20" s="2"/>
      <c r="N20" s="2"/>
      <c r="O20" s="2"/>
      <c r="P20" s="2"/>
      <c r="Q20" s="2" t="s">
        <v>71</v>
      </c>
      <c r="R20" s="2" t="s">
        <v>700</v>
      </c>
      <c r="S20" s="2"/>
      <c r="T20" s="2"/>
      <c r="U20" s="2"/>
      <c r="V20" s="2" t="s">
        <v>71</v>
      </c>
    </row>
    <row r="21" customFormat="false" ht="15" hidden="false" customHeight="false" outlineLevel="0" collapsed="false">
      <c r="A21" s="2" t="s">
        <v>698</v>
      </c>
      <c r="B21" s="2" t="s">
        <v>80</v>
      </c>
      <c r="C21" s="2" t="s">
        <v>80</v>
      </c>
      <c r="D21" s="2" t="s">
        <v>39</v>
      </c>
      <c r="E21" s="2" t="s">
        <v>699</v>
      </c>
      <c r="F21" s="2" t="s">
        <v>699</v>
      </c>
      <c r="G21" s="2" t="s">
        <v>393</v>
      </c>
      <c r="H21" s="2" t="n">
        <v>0.275</v>
      </c>
      <c r="I21" s="2" t="n">
        <v>2021</v>
      </c>
      <c r="J21" s="2" t="n">
        <v>0.204</v>
      </c>
      <c r="K21" s="2" t="n">
        <v>0.00953</v>
      </c>
      <c r="L21" s="2"/>
      <c r="M21" s="2"/>
      <c r="N21" s="2"/>
      <c r="O21" s="2"/>
      <c r="P21" s="2"/>
      <c r="Q21" s="2" t="s">
        <v>71</v>
      </c>
      <c r="R21" s="2" t="s">
        <v>700</v>
      </c>
      <c r="S21" s="2"/>
      <c r="T21" s="2"/>
      <c r="U21" s="2"/>
      <c r="V21" s="2" t="s">
        <v>71</v>
      </c>
    </row>
    <row r="22" customFormat="false" ht="15" hidden="false" customHeight="false" outlineLevel="0" collapsed="false">
      <c r="A22" s="2" t="s">
        <v>698</v>
      </c>
      <c r="B22" s="2" t="s">
        <v>81</v>
      </c>
      <c r="C22" s="2" t="s">
        <v>82</v>
      </c>
      <c r="D22" s="2" t="s">
        <v>48</v>
      </c>
      <c r="E22" s="2" t="s">
        <v>699</v>
      </c>
      <c r="F22" s="2" t="s">
        <v>699</v>
      </c>
      <c r="G22" s="2" t="s">
        <v>393</v>
      </c>
      <c r="H22" s="2" t="n">
        <v>0.3028</v>
      </c>
      <c r="I22" s="2" t="n">
        <v>2021</v>
      </c>
      <c r="J22" s="2" t="n">
        <v>0.2318</v>
      </c>
      <c r="K22" s="2" t="n">
        <v>0.0018</v>
      </c>
      <c r="L22" s="2"/>
      <c r="M22" s="2"/>
      <c r="N22" s="2"/>
      <c r="O22" s="2"/>
      <c r="P22" s="2"/>
      <c r="Q22" s="2" t="s">
        <v>71</v>
      </c>
      <c r="R22" s="2" t="s">
        <v>700</v>
      </c>
      <c r="S22" s="2"/>
      <c r="T22" s="2"/>
      <c r="U22" s="2"/>
      <c r="V22" s="2" t="s">
        <v>43</v>
      </c>
    </row>
    <row r="23" customFormat="false" ht="15" hidden="false" customHeight="false" outlineLevel="0" collapsed="false">
      <c r="A23" s="2" t="s">
        <v>698</v>
      </c>
      <c r="B23" s="2" t="s">
        <v>86</v>
      </c>
      <c r="C23" s="2" t="s">
        <v>86</v>
      </c>
      <c r="D23" s="2" t="s">
        <v>39</v>
      </c>
      <c r="E23" s="2" t="s">
        <v>699</v>
      </c>
      <c r="F23" s="2" t="s">
        <v>699</v>
      </c>
      <c r="G23" s="2" t="s">
        <v>393</v>
      </c>
      <c r="H23" s="2" t="n">
        <v>0.32783</v>
      </c>
      <c r="I23" s="2" t="n">
        <v>2021</v>
      </c>
      <c r="J23" s="2" t="n">
        <v>0.25683</v>
      </c>
      <c r="K23" s="2" t="n">
        <v>0.00958</v>
      </c>
      <c r="L23" s="2"/>
      <c r="M23" s="2"/>
      <c r="N23" s="2"/>
      <c r="O23" s="2"/>
      <c r="P23" s="2"/>
      <c r="Q23" s="2" t="s">
        <v>71</v>
      </c>
      <c r="R23" s="2" t="s">
        <v>700</v>
      </c>
      <c r="S23" s="2"/>
      <c r="T23" s="2"/>
      <c r="U23" s="2"/>
      <c r="V23" s="2" t="s">
        <v>71</v>
      </c>
    </row>
    <row r="24" customFormat="false" ht="15" hidden="false" customHeight="false" outlineLevel="0" collapsed="false">
      <c r="A24" s="2" t="s">
        <v>698</v>
      </c>
      <c r="B24" s="2" t="s">
        <v>87</v>
      </c>
      <c r="C24" s="2" t="s">
        <v>87</v>
      </c>
      <c r="D24" s="2" t="s">
        <v>48</v>
      </c>
      <c r="E24" s="2" t="s">
        <v>699</v>
      </c>
      <c r="F24" s="2" t="s">
        <v>699</v>
      </c>
      <c r="G24" s="2" t="s">
        <v>393</v>
      </c>
      <c r="H24" s="2" t="n">
        <v>0.3543</v>
      </c>
      <c r="I24" s="2" t="n">
        <v>2021</v>
      </c>
      <c r="J24" s="2" t="n">
        <v>0.2833</v>
      </c>
      <c r="K24" s="2" t="n">
        <v>0.01918</v>
      </c>
      <c r="L24" s="2"/>
      <c r="M24" s="2"/>
      <c r="N24" s="2"/>
      <c r="O24" s="2"/>
      <c r="P24" s="2"/>
      <c r="Q24" s="2" t="s">
        <v>71</v>
      </c>
      <c r="R24" s="2" t="s">
        <v>700</v>
      </c>
      <c r="S24" s="2"/>
      <c r="T24" s="2"/>
      <c r="U24" s="2"/>
      <c r="V24" s="2" t="s">
        <v>43</v>
      </c>
    </row>
    <row r="25" customFormat="false" ht="15" hidden="false" customHeight="false" outlineLevel="0" collapsed="false">
      <c r="A25" s="2" t="s">
        <v>698</v>
      </c>
      <c r="B25" s="2" t="s">
        <v>90</v>
      </c>
      <c r="C25" s="2" t="s">
        <v>90</v>
      </c>
      <c r="D25" s="2" t="s">
        <v>39</v>
      </c>
      <c r="E25" s="2" t="s">
        <v>699</v>
      </c>
      <c r="F25" s="2" t="s">
        <v>699</v>
      </c>
      <c r="G25" s="2" t="s">
        <v>393</v>
      </c>
      <c r="H25" s="2" t="n">
        <v>0.3945</v>
      </c>
      <c r="I25" s="2" t="n">
        <v>2021</v>
      </c>
      <c r="J25" s="2" t="n">
        <v>0.3235</v>
      </c>
      <c r="K25" s="2" t="n">
        <v>0.0048</v>
      </c>
      <c r="L25" s="2"/>
      <c r="M25" s="2"/>
      <c r="N25" s="2"/>
      <c r="O25" s="2"/>
      <c r="P25" s="2"/>
      <c r="Q25" s="2" t="s">
        <v>71</v>
      </c>
      <c r="R25" s="2" t="s">
        <v>700</v>
      </c>
      <c r="S25" s="2"/>
      <c r="T25" s="2"/>
      <c r="U25" s="2"/>
      <c r="V25" s="2" t="s">
        <v>71</v>
      </c>
    </row>
    <row r="26" customFormat="false" ht="15" hidden="false" customHeight="false" outlineLevel="0" collapsed="false">
      <c r="A26" s="2" t="s">
        <v>698</v>
      </c>
      <c r="B26" s="2" t="s">
        <v>68</v>
      </c>
      <c r="C26" s="2" t="s">
        <v>68</v>
      </c>
      <c r="D26" s="2" t="s">
        <v>48</v>
      </c>
      <c r="E26" s="2" t="s">
        <v>699</v>
      </c>
      <c r="F26" s="2" t="s">
        <v>699</v>
      </c>
      <c r="G26" s="2" t="s">
        <v>393</v>
      </c>
      <c r="H26" s="2" t="n">
        <v>0.3991</v>
      </c>
      <c r="I26" s="2" t="n">
        <v>2021</v>
      </c>
      <c r="J26" s="2" t="n">
        <v>0.3281</v>
      </c>
      <c r="K26" s="2" t="n">
        <v>0.0098</v>
      </c>
      <c r="L26" s="2"/>
      <c r="M26" s="2"/>
      <c r="N26" s="2"/>
      <c r="O26" s="2"/>
      <c r="P26" s="2"/>
      <c r="Q26" s="2" t="s">
        <v>71</v>
      </c>
      <c r="R26" s="2" t="s">
        <v>700</v>
      </c>
      <c r="S26" s="2"/>
      <c r="T26" s="2"/>
      <c r="U26" s="2"/>
      <c r="V26" s="2" t="s">
        <v>43</v>
      </c>
    </row>
    <row r="27" customFormat="false" ht="15" hidden="false" customHeight="false" outlineLevel="0" collapsed="false">
      <c r="A27" s="2" t="s">
        <v>698</v>
      </c>
      <c r="B27" s="2" t="s">
        <v>91</v>
      </c>
      <c r="C27" s="2" t="s">
        <v>91</v>
      </c>
      <c r="D27" s="2" t="s">
        <v>48</v>
      </c>
      <c r="E27" s="2" t="s">
        <v>699</v>
      </c>
      <c r="F27" s="2" t="s">
        <v>699</v>
      </c>
      <c r="G27" s="2" t="s">
        <v>393</v>
      </c>
      <c r="H27" s="2" t="n">
        <v>0.4155</v>
      </c>
      <c r="I27" s="2" t="n">
        <v>2021</v>
      </c>
      <c r="J27" s="2" t="n">
        <v>0.3445</v>
      </c>
      <c r="K27" s="2" t="n">
        <v>0.0035</v>
      </c>
      <c r="L27" s="2"/>
      <c r="M27" s="2"/>
      <c r="N27" s="2"/>
      <c r="O27" s="2"/>
      <c r="P27" s="2"/>
      <c r="Q27" s="2" t="s">
        <v>71</v>
      </c>
      <c r="R27" s="2" t="s">
        <v>700</v>
      </c>
      <c r="S27" s="2"/>
      <c r="T27" s="2"/>
      <c r="U27" s="2"/>
      <c r="V27" s="2" t="s">
        <v>43</v>
      </c>
    </row>
    <row r="28" customFormat="false" ht="15" hidden="false" customHeight="false" outlineLevel="0" collapsed="false">
      <c r="A28" s="2" t="s">
        <v>698</v>
      </c>
      <c r="B28" s="2" t="s">
        <v>94</v>
      </c>
      <c r="C28" s="2" t="s">
        <v>94</v>
      </c>
      <c r="D28" s="2" t="s">
        <v>39</v>
      </c>
      <c r="E28" s="2" t="s">
        <v>699</v>
      </c>
      <c r="F28" s="2" t="s">
        <v>699</v>
      </c>
      <c r="G28" s="2" t="s">
        <v>393</v>
      </c>
      <c r="H28" s="2" t="n">
        <v>0.481</v>
      </c>
      <c r="I28" s="2" t="n">
        <v>2021</v>
      </c>
      <c r="J28" s="2" t="n">
        <v>0.41</v>
      </c>
      <c r="K28" s="2" t="n">
        <v>0.0052</v>
      </c>
      <c r="L28" s="2"/>
      <c r="M28" s="2"/>
      <c r="N28" s="2"/>
      <c r="O28" s="2"/>
      <c r="P28" s="2"/>
      <c r="Q28" s="2" t="s">
        <v>71</v>
      </c>
      <c r="R28" s="2" t="s">
        <v>700</v>
      </c>
      <c r="S28" s="2"/>
      <c r="T28" s="2"/>
      <c r="U28" s="2"/>
      <c r="V28" s="2" t="s">
        <v>71</v>
      </c>
    </row>
    <row r="29" customFormat="false" ht="15" hidden="false" customHeight="false" outlineLevel="0" collapsed="false">
      <c r="A29" s="2" t="s">
        <v>698</v>
      </c>
      <c r="B29" s="2" t="s">
        <v>96</v>
      </c>
      <c r="C29" s="2" t="s">
        <v>96</v>
      </c>
      <c r="D29" s="2" t="s">
        <v>39</v>
      </c>
      <c r="E29" s="2" t="s">
        <v>699</v>
      </c>
      <c r="F29" s="2" t="s">
        <v>699</v>
      </c>
      <c r="G29" s="2" t="s">
        <v>393</v>
      </c>
      <c r="H29" s="2" t="n">
        <v>0.48175</v>
      </c>
      <c r="I29" s="2" t="n">
        <v>2021</v>
      </c>
      <c r="J29" s="2" t="n">
        <v>0.41075</v>
      </c>
      <c r="K29" s="2" t="n">
        <v>0.0192</v>
      </c>
      <c r="L29" s="2"/>
      <c r="M29" s="2"/>
      <c r="N29" s="2"/>
      <c r="O29" s="2"/>
      <c r="P29" s="2"/>
      <c r="Q29" s="2" t="s">
        <v>71</v>
      </c>
      <c r="R29" s="2" t="s">
        <v>700</v>
      </c>
      <c r="S29" s="2"/>
      <c r="T29" s="2"/>
      <c r="U29" s="2"/>
      <c r="V29" s="2" t="s">
        <v>71</v>
      </c>
    </row>
    <row r="30" customFormat="false" ht="15" hidden="false" customHeight="false" outlineLevel="0" collapsed="false">
      <c r="A30" s="2" t="s">
        <v>698</v>
      </c>
      <c r="B30" s="2" t="s">
        <v>98</v>
      </c>
      <c r="C30" s="2" t="s">
        <v>98</v>
      </c>
      <c r="D30" s="2" t="s">
        <v>48</v>
      </c>
      <c r="E30" s="2" t="s">
        <v>699</v>
      </c>
      <c r="F30" s="2" t="s">
        <v>699</v>
      </c>
      <c r="G30" s="2" t="s">
        <v>393</v>
      </c>
      <c r="H30" s="2" t="n">
        <v>0.4888</v>
      </c>
      <c r="I30" s="2" t="n">
        <v>2021</v>
      </c>
      <c r="J30" s="2" t="n">
        <v>0.4178</v>
      </c>
      <c r="K30" s="2" t="n">
        <v>0.0198</v>
      </c>
      <c r="L30" s="2"/>
      <c r="M30" s="2"/>
      <c r="N30" s="2"/>
      <c r="O30" s="2"/>
      <c r="P30" s="2"/>
      <c r="Q30" s="2" t="s">
        <v>71</v>
      </c>
      <c r="R30" s="2" t="s">
        <v>700</v>
      </c>
      <c r="S30" s="2"/>
      <c r="T30" s="2"/>
      <c r="U30" s="2"/>
      <c r="V30" s="2" t="s">
        <v>43</v>
      </c>
    </row>
    <row r="31" customFormat="false" ht="15" hidden="false" customHeight="false" outlineLevel="0" collapsed="false">
      <c r="A31" s="2" t="s">
        <v>698</v>
      </c>
      <c r="B31" s="2" t="s">
        <v>99</v>
      </c>
      <c r="C31" s="2" t="s">
        <v>99</v>
      </c>
      <c r="D31" s="2" t="s">
        <v>48</v>
      </c>
      <c r="E31" s="2" t="s">
        <v>699</v>
      </c>
      <c r="F31" s="2" t="s">
        <v>699</v>
      </c>
      <c r="G31" s="2" t="s">
        <v>393</v>
      </c>
      <c r="H31" s="2" t="n">
        <v>0.5051</v>
      </c>
      <c r="I31" s="2" t="n">
        <v>2021</v>
      </c>
      <c r="J31" s="2" t="n">
        <v>0.4341</v>
      </c>
      <c r="K31" s="2" t="n">
        <v>0.0147</v>
      </c>
      <c r="L31" s="2"/>
      <c r="M31" s="2"/>
      <c r="N31" s="2"/>
      <c r="O31" s="2"/>
      <c r="P31" s="2"/>
      <c r="Q31" s="2" t="s">
        <v>71</v>
      </c>
      <c r="R31" s="2" t="s">
        <v>700</v>
      </c>
      <c r="S31" s="2"/>
      <c r="T31" s="2"/>
      <c r="U31" s="2"/>
      <c r="V31" s="2" t="s">
        <v>43</v>
      </c>
    </row>
    <row r="32" customFormat="false" ht="15" hidden="false" customHeight="false" outlineLevel="0" collapsed="false">
      <c r="A32" s="2" t="s">
        <v>698</v>
      </c>
      <c r="B32" s="2" t="s">
        <v>100</v>
      </c>
      <c r="C32" s="2" t="s">
        <v>100</v>
      </c>
      <c r="D32" s="2" t="s">
        <v>48</v>
      </c>
      <c r="E32" s="2" t="s">
        <v>699</v>
      </c>
      <c r="F32" s="2" t="s">
        <v>699</v>
      </c>
      <c r="G32" s="2" t="s">
        <v>393</v>
      </c>
      <c r="H32" s="2" t="n">
        <v>0.635</v>
      </c>
      <c r="I32" s="2" t="n">
        <v>2021</v>
      </c>
      <c r="J32" s="2" t="n">
        <v>0.564</v>
      </c>
      <c r="K32" s="2" t="n">
        <v>0.0486</v>
      </c>
      <c r="L32" s="2"/>
      <c r="M32" s="2"/>
      <c r="N32" s="2"/>
      <c r="O32" s="2"/>
      <c r="P32" s="2"/>
      <c r="Q32" s="2" t="s">
        <v>71</v>
      </c>
      <c r="R32" s="2" t="s">
        <v>700</v>
      </c>
      <c r="S32" s="2"/>
      <c r="T32" s="2"/>
      <c r="U32" s="2"/>
      <c r="V32" s="2" t="s">
        <v>43</v>
      </c>
    </row>
    <row r="33" customFormat="false" ht="15" hidden="false" customHeight="false" outlineLevel="0" collapsed="false">
      <c r="A33" s="2" t="s">
        <v>698</v>
      </c>
      <c r="B33" s="2" t="s">
        <v>102</v>
      </c>
      <c r="C33" s="2" t="s">
        <v>102</v>
      </c>
      <c r="D33" s="2" t="s">
        <v>48</v>
      </c>
      <c r="E33" s="2" t="s">
        <v>699</v>
      </c>
      <c r="F33" s="2" t="s">
        <v>699</v>
      </c>
      <c r="G33" s="2" t="s">
        <v>393</v>
      </c>
      <c r="H33" s="2" t="n">
        <v>0.6904</v>
      </c>
      <c r="I33" s="2" t="n">
        <v>2021</v>
      </c>
      <c r="J33" s="2" t="n">
        <v>0.6194</v>
      </c>
      <c r="K33" s="2" t="n">
        <v>0.0395</v>
      </c>
      <c r="L33" s="2"/>
      <c r="M33" s="2"/>
      <c r="N33" s="2"/>
      <c r="O33" s="2"/>
      <c r="P33" s="2"/>
      <c r="Q33" s="2" t="s">
        <v>71</v>
      </c>
      <c r="R33" s="2" t="s">
        <v>700</v>
      </c>
      <c r="S33" s="2"/>
      <c r="T33" s="2"/>
      <c r="U33" s="2"/>
      <c r="V33" s="2" t="s">
        <v>43</v>
      </c>
    </row>
    <row r="34" customFormat="false" ht="15" hidden="false" customHeight="false" outlineLevel="0" collapsed="false">
      <c r="A34" s="2" t="s">
        <v>698</v>
      </c>
      <c r="B34" s="2" t="s">
        <v>104</v>
      </c>
      <c r="C34" s="2" t="s">
        <v>104</v>
      </c>
      <c r="D34" s="2" t="s">
        <v>39</v>
      </c>
      <c r="E34" s="2" t="s">
        <v>699</v>
      </c>
      <c r="F34" s="2" t="s">
        <v>699</v>
      </c>
      <c r="G34" s="2" t="s">
        <v>393</v>
      </c>
      <c r="H34" s="2" t="n">
        <v>0.7088</v>
      </c>
      <c r="I34" s="2" t="n">
        <v>2021</v>
      </c>
      <c r="J34" s="2" t="n">
        <v>0.6378</v>
      </c>
      <c r="K34" s="2" t="n">
        <v>0.0199</v>
      </c>
      <c r="L34" s="2"/>
      <c r="M34" s="2"/>
      <c r="N34" s="2"/>
      <c r="O34" s="2"/>
      <c r="P34" s="2"/>
      <c r="Q34" s="2" t="s">
        <v>71</v>
      </c>
      <c r="R34" s="2" t="s">
        <v>700</v>
      </c>
      <c r="S34" s="2"/>
      <c r="T34" s="2"/>
      <c r="U34" s="2"/>
      <c r="V34" s="2" t="s">
        <v>71</v>
      </c>
    </row>
    <row r="35" customFormat="false" ht="15" hidden="false" customHeight="false" outlineLevel="0" collapsed="false">
      <c r="A35" s="2" t="s">
        <v>698</v>
      </c>
      <c r="B35" s="2" t="s">
        <v>106</v>
      </c>
      <c r="C35" s="2" t="s">
        <v>106</v>
      </c>
      <c r="D35" s="2" t="s">
        <v>48</v>
      </c>
      <c r="E35" s="2" t="s">
        <v>699</v>
      </c>
      <c r="F35" s="2" t="s">
        <v>699</v>
      </c>
      <c r="G35" s="2" t="s">
        <v>393</v>
      </c>
      <c r="H35" s="2" t="n">
        <v>0.9593</v>
      </c>
      <c r="I35" s="2" t="n">
        <v>2021</v>
      </c>
      <c r="J35" s="2" t="n">
        <v>0.8883</v>
      </c>
      <c r="K35" s="2" t="n">
        <v>0.0097</v>
      </c>
      <c r="L35" s="2"/>
      <c r="M35" s="2"/>
      <c r="N35" s="2"/>
      <c r="O35" s="2"/>
      <c r="P35" s="2"/>
      <c r="Q35" s="2" t="s">
        <v>71</v>
      </c>
      <c r="R35" s="2" t="s">
        <v>700</v>
      </c>
      <c r="S35" s="2"/>
      <c r="T35" s="2"/>
      <c r="U35" s="2"/>
      <c r="V35" s="2" t="s">
        <v>43</v>
      </c>
    </row>
    <row r="36" customFormat="false" ht="15" hidden="false" customHeight="false" outlineLevel="0" collapsed="false">
      <c r="A36" s="2" t="s">
        <v>698</v>
      </c>
      <c r="B36" s="2" t="s">
        <v>107</v>
      </c>
      <c r="C36" s="2" t="s">
        <v>107</v>
      </c>
      <c r="D36" s="2" t="s">
        <v>48</v>
      </c>
      <c r="E36" s="2" t="s">
        <v>699</v>
      </c>
      <c r="F36" s="2" t="s">
        <v>699</v>
      </c>
      <c r="G36" s="2" t="s">
        <v>393</v>
      </c>
      <c r="H36" s="2" t="n">
        <v>0.96577</v>
      </c>
      <c r="I36" s="2" t="n">
        <v>2021</v>
      </c>
      <c r="J36" s="2" t="n">
        <v>0.89477</v>
      </c>
      <c r="K36" s="2" t="n">
        <v>0.03891</v>
      </c>
      <c r="L36" s="2"/>
      <c r="M36" s="2"/>
      <c r="N36" s="2"/>
      <c r="O36" s="2"/>
      <c r="P36" s="2"/>
      <c r="Q36" s="2" t="s">
        <v>71</v>
      </c>
      <c r="R36" s="2" t="s">
        <v>700</v>
      </c>
      <c r="S36" s="2"/>
      <c r="T36" s="2"/>
      <c r="U36" s="2"/>
      <c r="V36" s="2" t="s">
        <v>43</v>
      </c>
    </row>
    <row r="37" customFormat="false" ht="15" hidden="false" customHeight="false" outlineLevel="0" collapsed="false">
      <c r="A37" s="2" t="s">
        <v>698</v>
      </c>
      <c r="B37" s="2" t="s">
        <v>108</v>
      </c>
      <c r="C37" s="2" t="s">
        <v>108</v>
      </c>
      <c r="D37" s="2" t="s">
        <v>48</v>
      </c>
      <c r="E37" s="2" t="s">
        <v>699</v>
      </c>
      <c r="F37" s="2" t="s">
        <v>699</v>
      </c>
      <c r="G37" s="2" t="s">
        <v>393</v>
      </c>
      <c r="H37" s="2" t="n">
        <v>1.01775</v>
      </c>
      <c r="I37" s="2" t="n">
        <v>2021</v>
      </c>
      <c r="J37" s="2" t="n">
        <v>0.94675</v>
      </c>
      <c r="K37" s="2" t="n">
        <v>0.01958</v>
      </c>
      <c r="L37" s="2"/>
      <c r="M37" s="2"/>
      <c r="N37" s="2"/>
      <c r="O37" s="2"/>
      <c r="P37" s="2"/>
      <c r="Q37" s="2" t="s">
        <v>71</v>
      </c>
      <c r="R37" s="2" t="s">
        <v>700</v>
      </c>
      <c r="S37" s="2"/>
      <c r="T37" s="2"/>
      <c r="U37" s="2"/>
      <c r="V37" s="2" t="s">
        <v>43</v>
      </c>
    </row>
    <row r="38" customFormat="false" ht="15" hidden="false" customHeight="false" outlineLevel="0" collapsed="false">
      <c r="A38" s="2" t="s">
        <v>698</v>
      </c>
      <c r="B38" s="2" t="s">
        <v>109</v>
      </c>
      <c r="C38" s="2" t="s">
        <v>110</v>
      </c>
      <c r="D38" s="2" t="s">
        <v>48</v>
      </c>
      <c r="E38" s="2" t="s">
        <v>699</v>
      </c>
      <c r="F38" s="2" t="s">
        <v>699</v>
      </c>
      <c r="G38" s="2" t="s">
        <v>393</v>
      </c>
      <c r="H38" s="2" t="n">
        <v>1.04254</v>
      </c>
      <c r="I38" s="2" t="n">
        <v>2021</v>
      </c>
      <c r="J38" s="2" t="n">
        <v>0.97154</v>
      </c>
      <c r="K38" s="2" t="n">
        <v>0.02986</v>
      </c>
      <c r="L38" s="2"/>
      <c r="M38" s="2"/>
      <c r="N38" s="2"/>
      <c r="O38" s="2"/>
      <c r="P38" s="2"/>
      <c r="Q38" s="2" t="s">
        <v>71</v>
      </c>
      <c r="R38" s="2" t="s">
        <v>700</v>
      </c>
      <c r="S38" s="2"/>
      <c r="T38" s="2"/>
      <c r="U38" s="2"/>
      <c r="V38" s="2" t="s">
        <v>43</v>
      </c>
    </row>
    <row r="39" customFormat="false" ht="15" hidden="false" customHeight="false" outlineLevel="0" collapsed="false">
      <c r="A39" s="2" t="s">
        <v>698</v>
      </c>
      <c r="B39" s="2" t="s">
        <v>112</v>
      </c>
      <c r="C39" s="2" t="s">
        <v>112</v>
      </c>
      <c r="D39" s="2" t="s">
        <v>48</v>
      </c>
      <c r="E39" s="2" t="s">
        <v>699</v>
      </c>
      <c r="F39" s="2" t="s">
        <v>699</v>
      </c>
      <c r="G39" s="2" t="s">
        <v>393</v>
      </c>
      <c r="H39" s="2" t="n">
        <v>1.13144</v>
      </c>
      <c r="I39" s="2" t="n">
        <v>2021</v>
      </c>
      <c r="J39" s="2" t="n">
        <v>1.06044</v>
      </c>
      <c r="K39" s="2" t="n">
        <v>0.02023</v>
      </c>
      <c r="L39" s="2"/>
      <c r="M39" s="2"/>
      <c r="N39" s="2"/>
      <c r="O39" s="2"/>
      <c r="P39" s="2"/>
      <c r="Q39" s="2" t="s">
        <v>71</v>
      </c>
      <c r="R39" s="2" t="s">
        <v>700</v>
      </c>
      <c r="S39" s="2"/>
      <c r="T39" s="2"/>
      <c r="U39" s="2"/>
      <c r="V39" s="2" t="s">
        <v>43</v>
      </c>
    </row>
    <row r="40" customFormat="false" ht="15" hidden="false" customHeight="false" outlineLevel="0" collapsed="false">
      <c r="A40" s="2" t="s">
        <v>698</v>
      </c>
      <c r="B40" s="2" t="s">
        <v>113</v>
      </c>
      <c r="C40" s="2" t="s">
        <v>113</v>
      </c>
      <c r="D40" s="2" t="s">
        <v>48</v>
      </c>
      <c r="E40" s="2" t="s">
        <v>699</v>
      </c>
      <c r="F40" s="2" t="s">
        <v>699</v>
      </c>
      <c r="G40" s="2" t="s">
        <v>393</v>
      </c>
      <c r="H40" s="2" t="n">
        <v>1.34427</v>
      </c>
      <c r="I40" s="2" t="n">
        <v>2021</v>
      </c>
      <c r="J40" s="2" t="n">
        <v>1.27327</v>
      </c>
      <c r="K40" s="2" t="n">
        <v>0.03962</v>
      </c>
      <c r="L40" s="2"/>
      <c r="M40" s="2"/>
      <c r="N40" s="2"/>
      <c r="O40" s="2"/>
      <c r="P40" s="2"/>
      <c r="Q40" s="2" t="s">
        <v>71</v>
      </c>
      <c r="R40" s="2" t="s">
        <v>700</v>
      </c>
      <c r="S40" s="2"/>
      <c r="T40" s="2"/>
      <c r="U40" s="2"/>
      <c r="V40" s="2" t="s">
        <v>43</v>
      </c>
    </row>
    <row r="41" customFormat="false" ht="15" hidden="false" customHeight="false" outlineLevel="0" collapsed="false">
      <c r="A41" s="2" t="s">
        <v>698</v>
      </c>
      <c r="B41" s="2" t="s">
        <v>114</v>
      </c>
      <c r="C41" s="2" t="s">
        <v>114</v>
      </c>
      <c r="D41" s="2" t="s">
        <v>39</v>
      </c>
      <c r="E41" s="2" t="s">
        <v>699</v>
      </c>
      <c r="F41" s="2" t="s">
        <v>699</v>
      </c>
      <c r="G41" s="2" t="s">
        <v>393</v>
      </c>
      <c r="H41" s="2" t="n">
        <v>1.45308</v>
      </c>
      <c r="I41" s="2" t="n">
        <v>2021</v>
      </c>
      <c r="J41" s="2" t="n">
        <v>1.38208</v>
      </c>
      <c r="K41" s="2" t="n">
        <v>0.02078</v>
      </c>
      <c r="L41" s="2"/>
      <c r="M41" s="2"/>
      <c r="N41" s="2"/>
      <c r="O41" s="2"/>
      <c r="P41" s="2"/>
      <c r="Q41" s="2" t="s">
        <v>71</v>
      </c>
      <c r="R41" s="2" t="s">
        <v>700</v>
      </c>
      <c r="S41" s="2"/>
      <c r="T41" s="2"/>
      <c r="U41" s="2"/>
      <c r="V41" s="2" t="s">
        <v>71</v>
      </c>
    </row>
    <row r="42" customFormat="false" ht="15" hidden="false" customHeight="false" outlineLevel="0" collapsed="false">
      <c r="A42" s="2" t="s">
        <v>698</v>
      </c>
      <c r="B42" s="2" t="s">
        <v>116</v>
      </c>
      <c r="C42" s="2" t="s">
        <v>116</v>
      </c>
      <c r="D42" s="2" t="s">
        <v>48</v>
      </c>
      <c r="E42" s="2" t="s">
        <v>699</v>
      </c>
      <c r="F42" s="2" t="s">
        <v>699</v>
      </c>
      <c r="G42" s="2" t="s">
        <v>393</v>
      </c>
      <c r="H42" s="2" t="n">
        <v>1.7683</v>
      </c>
      <c r="I42" s="2" t="n">
        <v>2021</v>
      </c>
      <c r="J42" s="2" t="n">
        <v>1.6973</v>
      </c>
      <c r="K42" s="2" t="n">
        <v>0.032</v>
      </c>
      <c r="L42" s="2"/>
      <c r="M42" s="2"/>
      <c r="N42" s="2"/>
      <c r="O42" s="2"/>
      <c r="P42" s="2"/>
      <c r="Q42" s="2" t="s">
        <v>71</v>
      </c>
      <c r="R42" s="2" t="s">
        <v>700</v>
      </c>
      <c r="S42" s="2"/>
      <c r="T42" s="2"/>
      <c r="U42" s="2"/>
      <c r="V42" s="2" t="s">
        <v>43</v>
      </c>
    </row>
    <row r="43" customFormat="false" ht="15" hidden="false" customHeight="false" outlineLevel="0" collapsed="false">
      <c r="A43" s="2" t="s">
        <v>698</v>
      </c>
      <c r="B43" s="2" t="s">
        <v>117</v>
      </c>
      <c r="C43" s="2" t="s">
        <v>117</v>
      </c>
      <c r="D43" s="2" t="s">
        <v>39</v>
      </c>
      <c r="E43" s="2" t="s">
        <v>120</v>
      </c>
      <c r="F43" s="2" t="s">
        <v>699</v>
      </c>
      <c r="G43" s="2" t="s">
        <v>393</v>
      </c>
      <c r="H43" s="2" t="n">
        <v>1.81</v>
      </c>
      <c r="I43" s="2" t="n">
        <v>1950</v>
      </c>
      <c r="J43" s="2" t="n">
        <v>1.81</v>
      </c>
      <c r="K43" s="2" t="n">
        <v>0.02</v>
      </c>
      <c r="L43" s="2"/>
      <c r="M43" s="2"/>
      <c r="N43" s="2"/>
      <c r="O43" s="2"/>
      <c r="P43" s="2"/>
      <c r="Q43" s="2" t="s">
        <v>71</v>
      </c>
      <c r="R43" s="2" t="s">
        <v>700</v>
      </c>
      <c r="S43" s="2"/>
      <c r="T43" s="2"/>
      <c r="U43" s="2"/>
      <c r="V43" s="2" t="s">
        <v>71</v>
      </c>
    </row>
    <row r="44" customFormat="false" ht="15" hidden="false" customHeight="false" outlineLevel="0" collapsed="false">
      <c r="A44" s="2" t="s">
        <v>698</v>
      </c>
      <c r="B44" s="2" t="s">
        <v>122</v>
      </c>
      <c r="C44" s="2" t="s">
        <v>122</v>
      </c>
      <c r="D44" s="2" t="s">
        <v>48</v>
      </c>
      <c r="E44" s="2" t="s">
        <v>699</v>
      </c>
      <c r="F44" s="2" t="s">
        <v>699</v>
      </c>
      <c r="G44" s="2" t="s">
        <v>393</v>
      </c>
      <c r="H44" s="2" t="n">
        <v>1.8327</v>
      </c>
      <c r="I44" s="2" t="n">
        <v>2021</v>
      </c>
      <c r="J44" s="2" t="n">
        <v>1.7617</v>
      </c>
      <c r="K44" s="2" t="n">
        <v>0.0242</v>
      </c>
      <c r="L44" s="2"/>
      <c r="M44" s="2"/>
      <c r="N44" s="2"/>
      <c r="O44" s="2"/>
      <c r="P44" s="2"/>
      <c r="Q44" s="2" t="s">
        <v>71</v>
      </c>
      <c r="R44" s="2" t="s">
        <v>700</v>
      </c>
      <c r="S44" s="2"/>
      <c r="T44" s="2"/>
      <c r="U44" s="2"/>
      <c r="V44" s="2" t="s">
        <v>43</v>
      </c>
    </row>
    <row r="45" customFormat="false" ht="15" hidden="false" customHeight="false" outlineLevel="0" collapsed="false">
      <c r="A45" s="2" t="s">
        <v>698</v>
      </c>
      <c r="B45" s="2" t="s">
        <v>123</v>
      </c>
      <c r="C45" s="2" t="s">
        <v>123</v>
      </c>
      <c r="D45" s="2" t="s">
        <v>48</v>
      </c>
      <c r="E45" s="2" t="s">
        <v>699</v>
      </c>
      <c r="F45" s="2" t="s">
        <v>699</v>
      </c>
      <c r="G45" s="2" t="s">
        <v>393</v>
      </c>
      <c r="H45" s="2" t="n">
        <v>1.8597</v>
      </c>
      <c r="I45" s="2" t="n">
        <v>2021</v>
      </c>
      <c r="J45" s="2" t="n">
        <v>1.7887</v>
      </c>
      <c r="K45" s="2" t="n">
        <v>0.0115</v>
      </c>
      <c r="L45" s="2"/>
      <c r="M45" s="2"/>
      <c r="N45" s="2"/>
      <c r="O45" s="2"/>
      <c r="P45" s="2"/>
      <c r="Q45" s="2" t="s">
        <v>71</v>
      </c>
      <c r="R45" s="2" t="s">
        <v>700</v>
      </c>
      <c r="S45" s="2"/>
      <c r="T45" s="2"/>
      <c r="U45" s="2"/>
      <c r="V45" s="2" t="s">
        <v>43</v>
      </c>
    </row>
    <row r="46" customFormat="false" ht="15" hidden="false" customHeight="false" outlineLevel="0" collapsed="false">
      <c r="A46" s="2" t="s">
        <v>698</v>
      </c>
      <c r="B46" s="2" t="s">
        <v>124</v>
      </c>
      <c r="C46" s="2" t="s">
        <v>124</v>
      </c>
      <c r="D46" s="2" t="s">
        <v>39</v>
      </c>
      <c r="E46" s="2" t="s">
        <v>699</v>
      </c>
      <c r="F46" s="2" t="s">
        <v>699</v>
      </c>
      <c r="G46" s="2" t="s">
        <v>393</v>
      </c>
      <c r="H46" s="2" t="n">
        <v>1.97981</v>
      </c>
      <c r="I46" s="2" t="n">
        <v>2021</v>
      </c>
      <c r="J46" s="2" t="n">
        <v>1.90881</v>
      </c>
      <c r="K46" s="2" t="n">
        <v>0.02928</v>
      </c>
      <c r="L46" s="2"/>
      <c r="M46" s="2"/>
      <c r="N46" s="2"/>
      <c r="O46" s="2"/>
      <c r="P46" s="2"/>
      <c r="Q46" s="2" t="s">
        <v>71</v>
      </c>
      <c r="R46" s="2" t="s">
        <v>700</v>
      </c>
      <c r="S46" s="2"/>
      <c r="T46" s="2"/>
      <c r="U46" s="2"/>
      <c r="V46" s="2" t="s">
        <v>71</v>
      </c>
    </row>
    <row r="47" customFormat="false" ht="15" hidden="false" customHeight="false" outlineLevel="0" collapsed="false">
      <c r="A47" s="2" t="s">
        <v>698</v>
      </c>
      <c r="B47" s="2" t="s">
        <v>125</v>
      </c>
      <c r="C47" s="2" t="s">
        <v>125</v>
      </c>
      <c r="D47" s="2" t="s">
        <v>39</v>
      </c>
      <c r="E47" s="2" t="s">
        <v>699</v>
      </c>
      <c r="F47" s="2" t="s">
        <v>699</v>
      </c>
      <c r="G47" s="2" t="s">
        <v>393</v>
      </c>
      <c r="H47" s="2" t="n">
        <v>2.03162</v>
      </c>
      <c r="I47" s="2" t="n">
        <v>2021</v>
      </c>
      <c r="J47" s="2" t="n">
        <v>1.96062</v>
      </c>
      <c r="K47" s="2" t="n">
        <v>0.02421</v>
      </c>
      <c r="L47" s="2"/>
      <c r="M47" s="2"/>
      <c r="N47" s="2"/>
      <c r="O47" s="2"/>
      <c r="P47" s="2"/>
      <c r="Q47" s="2" t="s">
        <v>71</v>
      </c>
      <c r="R47" s="2" t="s">
        <v>700</v>
      </c>
      <c r="S47" s="2"/>
      <c r="T47" s="2"/>
      <c r="U47" s="2"/>
      <c r="V47" s="2" t="s">
        <v>71</v>
      </c>
    </row>
    <row r="48" customFormat="false" ht="15" hidden="false" customHeight="false" outlineLevel="0" collapsed="false">
      <c r="A48" s="2" t="s">
        <v>698</v>
      </c>
      <c r="B48" s="2" t="s">
        <v>126</v>
      </c>
      <c r="C48" s="2" t="s">
        <v>126</v>
      </c>
      <c r="D48" s="2" t="s">
        <v>39</v>
      </c>
      <c r="E48" s="2" t="s">
        <v>699</v>
      </c>
      <c r="F48" s="2" t="s">
        <v>699</v>
      </c>
      <c r="G48" s="2" t="s">
        <v>393</v>
      </c>
      <c r="H48" s="2" t="n">
        <v>2.06147</v>
      </c>
      <c r="I48" s="2" t="n">
        <v>2021</v>
      </c>
      <c r="J48" s="2" t="n">
        <v>1.99047</v>
      </c>
      <c r="K48" s="2" t="n">
        <v>0.03105</v>
      </c>
      <c r="L48" s="2"/>
      <c r="M48" s="2"/>
      <c r="N48" s="2"/>
      <c r="O48" s="2"/>
      <c r="P48" s="2"/>
      <c r="Q48" s="2" t="s">
        <v>71</v>
      </c>
      <c r="R48" s="2" t="s">
        <v>700</v>
      </c>
      <c r="S48" s="2"/>
      <c r="T48" s="2"/>
      <c r="U48" s="2"/>
      <c r="V48" s="2" t="s">
        <v>71</v>
      </c>
    </row>
    <row r="49" customFormat="false" ht="15" hidden="false" customHeight="false" outlineLevel="0" collapsed="false">
      <c r="A49" s="2" t="s">
        <v>698</v>
      </c>
      <c r="B49" s="2" t="s">
        <v>128</v>
      </c>
      <c r="C49" s="2" t="s">
        <v>128</v>
      </c>
      <c r="D49" s="2" t="s">
        <v>39</v>
      </c>
      <c r="E49" s="2" t="s">
        <v>699</v>
      </c>
      <c r="F49" s="2" t="s">
        <v>699</v>
      </c>
      <c r="G49" s="2" t="s">
        <v>393</v>
      </c>
      <c r="H49" s="2" t="n">
        <v>2.1322</v>
      </c>
      <c r="I49" s="2" t="n">
        <v>2021</v>
      </c>
      <c r="J49" s="2" t="n">
        <v>2.0612</v>
      </c>
      <c r="K49" s="2" t="n">
        <v>0.0368</v>
      </c>
      <c r="L49" s="2"/>
      <c r="M49" s="2"/>
      <c r="N49" s="2"/>
      <c r="O49" s="2"/>
      <c r="P49" s="2"/>
      <c r="Q49" s="2" t="s">
        <v>71</v>
      </c>
      <c r="R49" s="2" t="s">
        <v>700</v>
      </c>
      <c r="S49" s="2"/>
      <c r="T49" s="2"/>
      <c r="U49" s="2"/>
      <c r="V49" s="2" t="s">
        <v>71</v>
      </c>
    </row>
    <row r="50" customFormat="false" ht="15" hidden="false" customHeight="false" outlineLevel="0" collapsed="false">
      <c r="A50" s="2" t="s">
        <v>698</v>
      </c>
      <c r="B50" s="2" t="s">
        <v>130</v>
      </c>
      <c r="C50" s="2" t="s">
        <v>130</v>
      </c>
      <c r="D50" s="2" t="s">
        <v>39</v>
      </c>
      <c r="E50" s="2" t="s">
        <v>699</v>
      </c>
      <c r="F50" s="2" t="s">
        <v>699</v>
      </c>
      <c r="G50" s="2" t="s">
        <v>393</v>
      </c>
      <c r="H50" s="2" t="n">
        <v>2.18223</v>
      </c>
      <c r="I50" s="2" t="n">
        <v>2021</v>
      </c>
      <c r="J50" s="2" t="n">
        <v>2.11123</v>
      </c>
      <c r="K50" s="2" t="n">
        <v>0.04186</v>
      </c>
      <c r="L50" s="2"/>
      <c r="M50" s="2"/>
      <c r="N50" s="2"/>
      <c r="O50" s="2"/>
      <c r="P50" s="2"/>
      <c r="Q50" s="2" t="s">
        <v>71</v>
      </c>
      <c r="R50" s="2" t="s">
        <v>700</v>
      </c>
      <c r="S50" s="2"/>
      <c r="T50" s="2"/>
      <c r="U50" s="2"/>
      <c r="V50" s="2" t="s">
        <v>71</v>
      </c>
    </row>
    <row r="51" customFormat="false" ht="15" hidden="false" customHeight="false" outlineLevel="0" collapsed="false">
      <c r="A51" s="2" t="s">
        <v>698</v>
      </c>
      <c r="B51" s="2" t="s">
        <v>131</v>
      </c>
      <c r="C51" s="2" t="s">
        <v>131</v>
      </c>
      <c r="D51" s="2" t="s">
        <v>48</v>
      </c>
      <c r="E51" s="2" t="s">
        <v>699</v>
      </c>
      <c r="F51" s="2" t="s">
        <v>699</v>
      </c>
      <c r="G51" s="2" t="s">
        <v>393</v>
      </c>
      <c r="H51" s="2" t="n">
        <v>2.26901</v>
      </c>
      <c r="I51" s="2" t="n">
        <v>2021</v>
      </c>
      <c r="J51" s="2" t="n">
        <v>2.19801</v>
      </c>
      <c r="K51" s="2" t="n">
        <v>0.03241</v>
      </c>
      <c r="L51" s="2"/>
      <c r="M51" s="2"/>
      <c r="N51" s="2"/>
      <c r="O51" s="2"/>
      <c r="P51" s="2"/>
      <c r="Q51" s="2" t="s">
        <v>71</v>
      </c>
      <c r="R51" s="2" t="s">
        <v>700</v>
      </c>
      <c r="S51" s="2"/>
      <c r="T51" s="2"/>
      <c r="U51" s="2"/>
      <c r="V51" s="2" t="s">
        <v>43</v>
      </c>
    </row>
    <row r="52" customFormat="false" ht="15" hidden="false" customHeight="false" outlineLevel="0" collapsed="false">
      <c r="A52" s="2" t="s">
        <v>698</v>
      </c>
      <c r="B52" s="2" t="s">
        <v>132</v>
      </c>
      <c r="C52" s="2" t="s">
        <v>132</v>
      </c>
      <c r="D52" s="2" t="s">
        <v>39</v>
      </c>
      <c r="E52" s="2" t="s">
        <v>120</v>
      </c>
      <c r="F52" s="2" t="s">
        <v>699</v>
      </c>
      <c r="G52" s="2" t="s">
        <v>393</v>
      </c>
      <c r="H52" s="2" t="n">
        <v>2.43</v>
      </c>
      <c r="I52" s="2" t="n">
        <v>1950</v>
      </c>
      <c r="J52" s="2" t="n">
        <v>2.43</v>
      </c>
      <c r="K52" s="2" t="n">
        <v>0.02</v>
      </c>
      <c r="L52" s="2"/>
      <c r="M52" s="2"/>
      <c r="N52" s="2"/>
      <c r="O52" s="2"/>
      <c r="P52" s="2"/>
      <c r="Q52" s="2" t="s">
        <v>71</v>
      </c>
      <c r="R52" s="2" t="s">
        <v>700</v>
      </c>
      <c r="S52" s="2"/>
      <c r="T52" s="2"/>
      <c r="U52" s="2"/>
      <c r="V52" s="2" t="s">
        <v>71</v>
      </c>
    </row>
    <row r="53" customFormat="false" ht="15" hidden="false" customHeight="false" outlineLevel="0" collapsed="false">
      <c r="A53" s="2" t="s">
        <v>698</v>
      </c>
      <c r="B53" s="2" t="s">
        <v>134</v>
      </c>
      <c r="C53" s="2" t="s">
        <v>134</v>
      </c>
      <c r="D53" s="2" t="s">
        <v>39</v>
      </c>
      <c r="E53" s="2" t="s">
        <v>699</v>
      </c>
      <c r="F53" s="2" t="s">
        <v>699</v>
      </c>
      <c r="G53" s="2" t="s">
        <v>393</v>
      </c>
      <c r="H53" s="2" t="n">
        <v>2.4453</v>
      </c>
      <c r="I53" s="2" t="n">
        <v>2021</v>
      </c>
      <c r="J53" s="2" t="n">
        <v>2.3743</v>
      </c>
      <c r="K53" s="2" t="n">
        <v>0.044</v>
      </c>
      <c r="L53" s="2"/>
      <c r="M53" s="2"/>
      <c r="N53" s="2"/>
      <c r="O53" s="2"/>
      <c r="P53" s="2"/>
      <c r="Q53" s="2" t="s">
        <v>71</v>
      </c>
      <c r="R53" s="2" t="s">
        <v>700</v>
      </c>
      <c r="S53" s="2"/>
      <c r="T53" s="2"/>
      <c r="U53" s="2"/>
      <c r="V53" s="2" t="s">
        <v>71</v>
      </c>
    </row>
    <row r="54" customFormat="false" ht="15" hidden="false" customHeight="false" outlineLevel="0" collapsed="false">
      <c r="A54" s="2" t="s">
        <v>698</v>
      </c>
      <c r="B54" s="2" t="s">
        <v>136</v>
      </c>
      <c r="C54" s="2" t="s">
        <v>136</v>
      </c>
      <c r="D54" s="2" t="s">
        <v>48</v>
      </c>
      <c r="E54" s="2" t="s">
        <v>699</v>
      </c>
      <c r="F54" s="2" t="s">
        <v>699</v>
      </c>
      <c r="G54" s="2" t="s">
        <v>393</v>
      </c>
      <c r="H54" s="2" t="n">
        <v>2.46195</v>
      </c>
      <c r="I54" s="2" t="n">
        <v>2021</v>
      </c>
      <c r="J54" s="2" t="n">
        <v>2.39095</v>
      </c>
      <c r="K54" s="2" t="n">
        <v>0.03961</v>
      </c>
      <c r="L54" s="2"/>
      <c r="M54" s="2"/>
      <c r="N54" s="2"/>
      <c r="O54" s="2"/>
      <c r="P54" s="2"/>
      <c r="Q54" s="2" t="s">
        <v>71</v>
      </c>
      <c r="R54" s="2" t="s">
        <v>700</v>
      </c>
      <c r="S54" s="2"/>
      <c r="T54" s="2"/>
      <c r="U54" s="2"/>
      <c r="V54" s="2" t="s">
        <v>43</v>
      </c>
    </row>
    <row r="55" customFormat="false" ht="15" hidden="false" customHeight="false" outlineLevel="0" collapsed="false">
      <c r="A55" s="2" t="s">
        <v>698</v>
      </c>
      <c r="B55" s="2" t="s">
        <v>138</v>
      </c>
      <c r="C55" s="2" t="s">
        <v>138</v>
      </c>
      <c r="D55" s="2" t="s">
        <v>39</v>
      </c>
      <c r="E55" s="2" t="s">
        <v>699</v>
      </c>
      <c r="F55" s="2" t="s">
        <v>699</v>
      </c>
      <c r="G55" s="2" t="s">
        <v>393</v>
      </c>
      <c r="H55" s="2" t="n">
        <v>2.47161</v>
      </c>
      <c r="I55" s="2" t="n">
        <v>2021</v>
      </c>
      <c r="J55" s="2" t="n">
        <v>2.40061</v>
      </c>
      <c r="K55" s="2" t="n">
        <v>0.04041</v>
      </c>
      <c r="L55" s="2"/>
      <c r="M55" s="2"/>
      <c r="N55" s="2"/>
      <c r="O55" s="2"/>
      <c r="P55" s="2"/>
      <c r="Q55" s="2" t="s">
        <v>71</v>
      </c>
      <c r="R55" s="2" t="s">
        <v>700</v>
      </c>
      <c r="S55" s="2"/>
      <c r="T55" s="2"/>
      <c r="U55" s="2"/>
      <c r="V55" s="2" t="s">
        <v>71</v>
      </c>
    </row>
    <row r="56" customFormat="false" ht="15" hidden="false" customHeight="false" outlineLevel="0" collapsed="false">
      <c r="A56" s="2" t="s">
        <v>698</v>
      </c>
      <c r="B56" s="2" t="s">
        <v>139</v>
      </c>
      <c r="C56" s="2" t="s">
        <v>139</v>
      </c>
      <c r="D56" s="2" t="s">
        <v>48</v>
      </c>
      <c r="E56" s="2" t="s">
        <v>699</v>
      </c>
      <c r="F56" s="2" t="s">
        <v>699</v>
      </c>
      <c r="G56" s="2" t="s">
        <v>393</v>
      </c>
      <c r="H56" s="2" t="n">
        <v>2.69516</v>
      </c>
      <c r="I56" s="2" t="n">
        <v>2021</v>
      </c>
      <c r="J56" s="2" t="n">
        <v>2.62416</v>
      </c>
      <c r="K56" s="2" t="n">
        <v>0.02965</v>
      </c>
      <c r="L56" s="2"/>
      <c r="M56" s="2"/>
      <c r="N56" s="2"/>
      <c r="O56" s="2"/>
      <c r="P56" s="2"/>
      <c r="Q56" s="2" t="s">
        <v>71</v>
      </c>
      <c r="R56" s="2" t="s">
        <v>700</v>
      </c>
      <c r="S56" s="2"/>
      <c r="T56" s="2"/>
      <c r="U56" s="2"/>
      <c r="V56" s="2" t="s">
        <v>43</v>
      </c>
    </row>
    <row r="57" customFormat="false" ht="15" hidden="false" customHeight="false" outlineLevel="0" collapsed="false">
      <c r="A57" s="2" t="s">
        <v>698</v>
      </c>
      <c r="B57" s="2" t="s">
        <v>142</v>
      </c>
      <c r="C57" s="2" t="s">
        <v>142</v>
      </c>
      <c r="D57" s="2" t="s">
        <v>39</v>
      </c>
      <c r="E57" s="2" t="s">
        <v>699</v>
      </c>
      <c r="F57" s="2" t="s">
        <v>699</v>
      </c>
      <c r="G57" s="2" t="s">
        <v>393</v>
      </c>
      <c r="H57" s="2" t="n">
        <v>2.884</v>
      </c>
      <c r="I57" s="2" t="n">
        <v>2021</v>
      </c>
      <c r="J57" s="2" t="n">
        <v>2.813</v>
      </c>
      <c r="K57" s="2" t="n">
        <v>0.0223</v>
      </c>
      <c r="L57" s="2"/>
      <c r="M57" s="2"/>
      <c r="N57" s="2"/>
      <c r="O57" s="2"/>
      <c r="P57" s="2"/>
      <c r="Q57" s="2" t="s">
        <v>71</v>
      </c>
      <c r="R57" s="2" t="s">
        <v>700</v>
      </c>
      <c r="S57" s="2"/>
      <c r="T57" s="2"/>
      <c r="U57" s="2"/>
      <c r="V57" s="2" t="s">
        <v>71</v>
      </c>
    </row>
    <row r="58" customFormat="false" ht="15" hidden="false" customHeight="false" outlineLevel="0" collapsed="false">
      <c r="A58" s="2" t="s">
        <v>698</v>
      </c>
      <c r="B58" s="2" t="s">
        <v>143</v>
      </c>
      <c r="C58" s="2" t="s">
        <v>143</v>
      </c>
      <c r="D58" s="2" t="s">
        <v>39</v>
      </c>
      <c r="E58" s="2" t="s">
        <v>120</v>
      </c>
      <c r="F58" s="2" t="s">
        <v>699</v>
      </c>
      <c r="G58" s="2" t="s">
        <v>393</v>
      </c>
      <c r="H58" s="2" t="n">
        <v>2.93</v>
      </c>
      <c r="I58" s="2" t="n">
        <v>1950</v>
      </c>
      <c r="J58" s="2" t="n">
        <v>2.93</v>
      </c>
      <c r="K58" s="2" t="n">
        <v>0.03</v>
      </c>
      <c r="L58" s="2"/>
      <c r="M58" s="2"/>
      <c r="N58" s="2"/>
      <c r="O58" s="2"/>
      <c r="P58" s="2"/>
      <c r="Q58" s="2" t="s">
        <v>71</v>
      </c>
      <c r="R58" s="2" t="s">
        <v>700</v>
      </c>
      <c r="S58" s="2"/>
      <c r="T58" s="2"/>
      <c r="U58" s="2"/>
      <c r="V58" s="2" t="s">
        <v>71</v>
      </c>
    </row>
    <row r="59" customFormat="false" ht="15" hidden="false" customHeight="false" outlineLevel="0" collapsed="false">
      <c r="A59" s="2" t="s">
        <v>698</v>
      </c>
      <c r="B59" s="2" t="s">
        <v>145</v>
      </c>
      <c r="C59" s="2" t="s">
        <v>145</v>
      </c>
      <c r="D59" s="2" t="s">
        <v>39</v>
      </c>
      <c r="E59" s="2" t="s">
        <v>699</v>
      </c>
      <c r="F59" s="2" t="s">
        <v>699</v>
      </c>
      <c r="G59" s="2" t="s">
        <v>393</v>
      </c>
      <c r="H59" s="2" t="n">
        <v>3.0433</v>
      </c>
      <c r="I59" s="2" t="n">
        <v>2021</v>
      </c>
      <c r="J59" s="2" t="n">
        <v>2.9723</v>
      </c>
      <c r="K59" s="2" t="n">
        <v>0.0307</v>
      </c>
      <c r="L59" s="2"/>
      <c r="M59" s="2"/>
      <c r="N59" s="2"/>
      <c r="O59" s="2"/>
      <c r="P59" s="2"/>
      <c r="Q59" s="2" t="s">
        <v>71</v>
      </c>
      <c r="R59" s="2" t="s">
        <v>700</v>
      </c>
      <c r="S59" s="2"/>
      <c r="T59" s="2"/>
      <c r="U59" s="2"/>
      <c r="V59" s="2" t="s">
        <v>71</v>
      </c>
    </row>
    <row r="60" customFormat="false" ht="15" hidden="false" customHeight="false" outlineLevel="0" collapsed="false">
      <c r="A60" s="2" t="s">
        <v>698</v>
      </c>
      <c r="B60" s="2" t="s">
        <v>146</v>
      </c>
      <c r="C60" s="2" t="s">
        <v>146</v>
      </c>
      <c r="D60" s="2" t="s">
        <v>39</v>
      </c>
      <c r="E60" s="2" t="s">
        <v>699</v>
      </c>
      <c r="F60" s="2" t="s">
        <v>699</v>
      </c>
      <c r="G60" s="2" t="s">
        <v>393</v>
      </c>
      <c r="H60" s="2" t="n">
        <v>3.1609</v>
      </c>
      <c r="I60" s="2" t="n">
        <v>2021</v>
      </c>
      <c r="J60" s="2" t="n">
        <v>3.0899</v>
      </c>
      <c r="K60" s="2" t="n">
        <v>0.02</v>
      </c>
      <c r="L60" s="2"/>
      <c r="M60" s="2"/>
      <c r="N60" s="2"/>
      <c r="O60" s="2"/>
      <c r="P60" s="2"/>
      <c r="Q60" s="2" t="s">
        <v>71</v>
      </c>
      <c r="R60" s="2" t="s">
        <v>700</v>
      </c>
      <c r="S60" s="2"/>
      <c r="T60" s="2"/>
      <c r="U60" s="2"/>
      <c r="V60" s="2" t="s">
        <v>71</v>
      </c>
    </row>
    <row r="61" customFormat="false" ht="15" hidden="false" customHeight="false" outlineLevel="0" collapsed="false">
      <c r="A61" s="2" t="s">
        <v>698</v>
      </c>
      <c r="B61" s="2" t="s">
        <v>148</v>
      </c>
      <c r="C61" s="2" t="s">
        <v>148</v>
      </c>
      <c r="D61" s="2" t="s">
        <v>39</v>
      </c>
      <c r="E61" s="2" t="s">
        <v>699</v>
      </c>
      <c r="F61" s="2" t="s">
        <v>699</v>
      </c>
      <c r="G61" s="2" t="s">
        <v>393</v>
      </c>
      <c r="H61" s="2" t="n">
        <v>3.1941</v>
      </c>
      <c r="I61" s="2" t="n">
        <v>2021</v>
      </c>
      <c r="J61" s="2" t="n">
        <v>3.1231</v>
      </c>
      <c r="K61" s="2" t="n">
        <v>0.0373</v>
      </c>
      <c r="L61" s="2"/>
      <c r="M61" s="2"/>
      <c r="N61" s="2"/>
      <c r="O61" s="2"/>
      <c r="P61" s="2"/>
      <c r="Q61" s="2" t="s">
        <v>71</v>
      </c>
      <c r="R61" s="2" t="s">
        <v>700</v>
      </c>
      <c r="S61" s="2"/>
      <c r="T61" s="2"/>
      <c r="U61" s="2"/>
      <c r="V61" s="2" t="s">
        <v>71</v>
      </c>
    </row>
    <row r="62" customFormat="false" ht="15" hidden="false" customHeight="false" outlineLevel="0" collapsed="false">
      <c r="A62" s="2" t="s">
        <v>698</v>
      </c>
      <c r="B62" s="2" t="s">
        <v>149</v>
      </c>
      <c r="C62" s="2" t="s">
        <v>149</v>
      </c>
      <c r="D62" s="2" t="s">
        <v>39</v>
      </c>
      <c r="E62" s="2" t="s">
        <v>699</v>
      </c>
      <c r="F62" s="2" t="s">
        <v>699</v>
      </c>
      <c r="G62" s="2" t="s">
        <v>393</v>
      </c>
      <c r="H62" s="2" t="n">
        <v>3.23383</v>
      </c>
      <c r="I62" s="2" t="n">
        <v>2021</v>
      </c>
      <c r="J62" s="2" t="n">
        <v>3.16283</v>
      </c>
      <c r="K62" s="2" t="n">
        <v>0.07142</v>
      </c>
      <c r="L62" s="2"/>
      <c r="M62" s="2"/>
      <c r="N62" s="2"/>
      <c r="O62" s="2"/>
      <c r="P62" s="2"/>
      <c r="Q62" s="2" t="s">
        <v>71</v>
      </c>
      <c r="R62" s="2" t="s">
        <v>700</v>
      </c>
      <c r="S62" s="2"/>
      <c r="T62" s="2"/>
      <c r="U62" s="2"/>
      <c r="V62" s="2" t="s">
        <v>71</v>
      </c>
    </row>
    <row r="63" customFormat="false" ht="15" hidden="false" customHeight="false" outlineLevel="0" collapsed="false">
      <c r="A63" s="2" t="s">
        <v>698</v>
      </c>
      <c r="B63" s="2" t="s">
        <v>150</v>
      </c>
      <c r="C63" s="2" t="s">
        <v>150</v>
      </c>
      <c r="D63" s="2" t="s">
        <v>39</v>
      </c>
      <c r="E63" s="2" t="s">
        <v>699</v>
      </c>
      <c r="F63" s="2" t="s">
        <v>699</v>
      </c>
      <c r="G63" s="2" t="s">
        <v>393</v>
      </c>
      <c r="H63" s="2" t="n">
        <v>3.2713</v>
      </c>
      <c r="I63" s="2" t="n">
        <v>2021</v>
      </c>
      <c r="J63" s="2" t="n">
        <v>3.2003</v>
      </c>
      <c r="K63" s="2" t="n">
        <v>0.0268</v>
      </c>
      <c r="L63" s="2"/>
      <c r="M63" s="2"/>
      <c r="N63" s="2"/>
      <c r="O63" s="2"/>
      <c r="P63" s="2"/>
      <c r="Q63" s="2" t="s">
        <v>71</v>
      </c>
      <c r="R63" s="2" t="s">
        <v>700</v>
      </c>
      <c r="S63" s="2"/>
      <c r="T63" s="2"/>
      <c r="U63" s="2"/>
      <c r="V63" s="2" t="s">
        <v>71</v>
      </c>
    </row>
    <row r="64" customFormat="false" ht="15" hidden="false" customHeight="false" outlineLevel="0" collapsed="false">
      <c r="A64" s="2" t="s">
        <v>698</v>
      </c>
      <c r="B64" s="2" t="s">
        <v>152</v>
      </c>
      <c r="C64" s="2" t="s">
        <v>152</v>
      </c>
      <c r="D64" s="2" t="s">
        <v>39</v>
      </c>
      <c r="E64" s="2" t="s">
        <v>699</v>
      </c>
      <c r="F64" s="2" t="s">
        <v>699</v>
      </c>
      <c r="G64" s="2" t="s">
        <v>393</v>
      </c>
      <c r="H64" s="2" t="n">
        <v>3.28179</v>
      </c>
      <c r="I64" s="2" t="n">
        <v>2021</v>
      </c>
      <c r="J64" s="2" t="n">
        <v>3.21079</v>
      </c>
      <c r="K64" s="2" t="n">
        <v>0.04077</v>
      </c>
      <c r="L64" s="2"/>
      <c r="M64" s="2"/>
      <c r="N64" s="2"/>
      <c r="O64" s="2"/>
      <c r="P64" s="2"/>
      <c r="Q64" s="2" t="s">
        <v>71</v>
      </c>
      <c r="R64" s="2" t="s">
        <v>700</v>
      </c>
      <c r="S64" s="2"/>
      <c r="T64" s="2"/>
      <c r="U64" s="2"/>
      <c r="V64" s="2" t="s">
        <v>71</v>
      </c>
    </row>
    <row r="65" customFormat="false" ht="15" hidden="false" customHeight="false" outlineLevel="0" collapsed="false">
      <c r="A65" s="2" t="s">
        <v>698</v>
      </c>
      <c r="B65" s="2" t="s">
        <v>154</v>
      </c>
      <c r="C65" s="2" t="s">
        <v>154</v>
      </c>
      <c r="D65" s="2" t="s">
        <v>48</v>
      </c>
      <c r="E65" s="2" t="s">
        <v>699</v>
      </c>
      <c r="F65" s="2" t="s">
        <v>699</v>
      </c>
      <c r="G65" s="2" t="s">
        <v>393</v>
      </c>
      <c r="H65" s="2" t="n">
        <v>3.32376</v>
      </c>
      <c r="I65" s="2" t="n">
        <v>2021</v>
      </c>
      <c r="J65" s="2" t="n">
        <v>3.25276</v>
      </c>
      <c r="K65" s="2" t="n">
        <v>0.03569</v>
      </c>
      <c r="L65" s="2"/>
      <c r="M65" s="2"/>
      <c r="N65" s="2"/>
      <c r="O65" s="2"/>
      <c r="P65" s="2"/>
      <c r="Q65" s="2" t="s">
        <v>71</v>
      </c>
      <c r="R65" s="2" t="s">
        <v>700</v>
      </c>
      <c r="S65" s="2"/>
      <c r="T65" s="2"/>
      <c r="U65" s="2"/>
      <c r="V65" s="2" t="s">
        <v>43</v>
      </c>
    </row>
    <row r="66" customFormat="false" ht="15" hidden="false" customHeight="false" outlineLevel="0" collapsed="false">
      <c r="A66" s="2" t="s">
        <v>698</v>
      </c>
      <c r="B66" s="2" t="s">
        <v>155</v>
      </c>
      <c r="C66" s="2" t="s">
        <v>155</v>
      </c>
      <c r="D66" s="2" t="s">
        <v>39</v>
      </c>
      <c r="E66" s="2" t="s">
        <v>699</v>
      </c>
      <c r="F66" s="2" t="s">
        <v>699</v>
      </c>
      <c r="G66" s="2" t="s">
        <v>393</v>
      </c>
      <c r="H66" s="2" t="n">
        <v>3.3474</v>
      </c>
      <c r="I66" s="2" t="n">
        <v>2021</v>
      </c>
      <c r="J66" s="2" t="n">
        <v>3.2764</v>
      </c>
      <c r="K66" s="2" t="n">
        <v>0.0384</v>
      </c>
      <c r="L66" s="2"/>
      <c r="M66" s="2"/>
      <c r="N66" s="2"/>
      <c r="O66" s="2"/>
      <c r="P66" s="2"/>
      <c r="Q66" s="2" t="s">
        <v>71</v>
      </c>
      <c r="R66" s="2" t="s">
        <v>700</v>
      </c>
      <c r="S66" s="2"/>
      <c r="T66" s="2"/>
      <c r="U66" s="2"/>
      <c r="V66" s="2" t="s">
        <v>71</v>
      </c>
    </row>
    <row r="67" customFormat="false" ht="15" hidden="false" customHeight="false" outlineLevel="0" collapsed="false">
      <c r="A67" s="2" t="s">
        <v>698</v>
      </c>
      <c r="B67" s="2" t="s">
        <v>156</v>
      </c>
      <c r="C67" s="2" t="s">
        <v>156</v>
      </c>
      <c r="D67" s="2" t="s">
        <v>39</v>
      </c>
      <c r="E67" s="2" t="s">
        <v>699</v>
      </c>
      <c r="F67" s="2" t="s">
        <v>699</v>
      </c>
      <c r="G67" s="2" t="s">
        <v>393</v>
      </c>
      <c r="H67" s="2" t="n">
        <v>3.429</v>
      </c>
      <c r="I67" s="2" t="n">
        <v>2021</v>
      </c>
      <c r="J67" s="2" t="n">
        <v>3.358</v>
      </c>
      <c r="K67" s="2" t="n">
        <v>0.0299</v>
      </c>
      <c r="L67" s="2"/>
      <c r="M67" s="2"/>
      <c r="N67" s="2"/>
      <c r="O67" s="2"/>
      <c r="P67" s="2"/>
      <c r="Q67" s="2" t="s">
        <v>71</v>
      </c>
      <c r="R67" s="2" t="s">
        <v>700</v>
      </c>
      <c r="S67" s="2"/>
      <c r="T67" s="2"/>
      <c r="U67" s="2"/>
      <c r="V67" s="2" t="s">
        <v>71</v>
      </c>
    </row>
    <row r="68" customFormat="false" ht="15" hidden="false" customHeight="false" outlineLevel="0" collapsed="false">
      <c r="A68" s="2" t="s">
        <v>698</v>
      </c>
      <c r="B68" s="2" t="s">
        <v>158</v>
      </c>
      <c r="C68" s="2" t="s">
        <v>158</v>
      </c>
      <c r="D68" s="2" t="s">
        <v>48</v>
      </c>
      <c r="E68" s="2" t="s">
        <v>699</v>
      </c>
      <c r="F68" s="2" t="s">
        <v>699</v>
      </c>
      <c r="G68" s="2" t="s">
        <v>393</v>
      </c>
      <c r="H68" s="2" t="n">
        <v>3.5227</v>
      </c>
      <c r="I68" s="2" t="n">
        <v>2021</v>
      </c>
      <c r="J68" s="2" t="n">
        <v>3.4517</v>
      </c>
      <c r="K68" s="2" t="n">
        <v>0.0205</v>
      </c>
      <c r="L68" s="2"/>
      <c r="M68" s="2"/>
      <c r="N68" s="2"/>
      <c r="O68" s="2"/>
      <c r="P68" s="2"/>
      <c r="Q68" s="2" t="s">
        <v>71</v>
      </c>
      <c r="R68" s="2" t="s">
        <v>700</v>
      </c>
      <c r="S68" s="2"/>
      <c r="T68" s="2"/>
      <c r="U68" s="2"/>
      <c r="V68" s="2" t="s">
        <v>43</v>
      </c>
    </row>
    <row r="69" customFormat="false" ht="15" hidden="false" customHeight="false" outlineLevel="0" collapsed="false">
      <c r="A69" s="2" t="s">
        <v>698</v>
      </c>
      <c r="B69" s="2" t="s">
        <v>160</v>
      </c>
      <c r="C69" s="2" t="s">
        <v>160</v>
      </c>
      <c r="D69" s="2" t="s">
        <v>39</v>
      </c>
      <c r="E69" s="2" t="s">
        <v>699</v>
      </c>
      <c r="F69" s="2" t="s">
        <v>699</v>
      </c>
      <c r="G69" s="2" t="s">
        <v>393</v>
      </c>
      <c r="H69" s="2" t="n">
        <v>3.5433</v>
      </c>
      <c r="I69" s="2" t="n">
        <v>2021</v>
      </c>
      <c r="J69" s="2" t="n">
        <v>3.4723</v>
      </c>
      <c r="K69" s="2" t="n">
        <v>0.0213</v>
      </c>
      <c r="L69" s="2"/>
      <c r="M69" s="2"/>
      <c r="N69" s="2"/>
      <c r="O69" s="2"/>
      <c r="P69" s="2"/>
      <c r="Q69" s="2" t="s">
        <v>71</v>
      </c>
      <c r="R69" s="2" t="s">
        <v>700</v>
      </c>
      <c r="S69" s="2"/>
      <c r="T69" s="2"/>
      <c r="U69" s="2"/>
      <c r="V69" s="2" t="s">
        <v>71</v>
      </c>
    </row>
    <row r="70" customFormat="false" ht="15" hidden="false" customHeight="false" outlineLevel="0" collapsed="false">
      <c r="A70" s="2" t="s">
        <v>698</v>
      </c>
      <c r="B70" s="2" t="s">
        <v>161</v>
      </c>
      <c r="C70" s="2" t="s">
        <v>161</v>
      </c>
      <c r="D70" s="2" t="s">
        <v>39</v>
      </c>
      <c r="E70" s="2" t="s">
        <v>699</v>
      </c>
      <c r="F70" s="2" t="s">
        <v>699</v>
      </c>
      <c r="G70" s="2" t="s">
        <v>393</v>
      </c>
      <c r="H70" s="2" t="n">
        <v>3.61232</v>
      </c>
      <c r="I70" s="2" t="n">
        <v>2021</v>
      </c>
      <c r="J70" s="2" t="n">
        <v>3.54132</v>
      </c>
      <c r="K70" s="2" t="n">
        <v>0.03011</v>
      </c>
      <c r="L70" s="2"/>
      <c r="M70" s="2"/>
      <c r="N70" s="2"/>
      <c r="O70" s="2"/>
      <c r="P70" s="2"/>
      <c r="Q70" s="2" t="s">
        <v>71</v>
      </c>
      <c r="R70" s="2" t="s">
        <v>700</v>
      </c>
      <c r="S70" s="2"/>
      <c r="T70" s="2"/>
      <c r="U70" s="2"/>
      <c r="V70" s="2" t="s">
        <v>71</v>
      </c>
    </row>
    <row r="71" customFormat="false" ht="15" hidden="false" customHeight="false" outlineLevel="0" collapsed="false">
      <c r="A71" s="2" t="s">
        <v>698</v>
      </c>
      <c r="B71" s="2" t="s">
        <v>163</v>
      </c>
      <c r="C71" s="2" t="s">
        <v>163</v>
      </c>
      <c r="D71" s="2" t="s">
        <v>39</v>
      </c>
      <c r="E71" s="2" t="s">
        <v>699</v>
      </c>
      <c r="F71" s="2" t="s">
        <v>699</v>
      </c>
      <c r="G71" s="2" t="s">
        <v>393</v>
      </c>
      <c r="H71" s="2" t="n">
        <v>3.6236</v>
      </c>
      <c r="I71" s="2" t="n">
        <v>2021</v>
      </c>
      <c r="J71" s="2" t="n">
        <v>3.5526</v>
      </c>
      <c r="K71" s="2" t="n">
        <v>0.0226</v>
      </c>
      <c r="L71" s="2"/>
      <c r="M71" s="2"/>
      <c r="N71" s="2"/>
      <c r="O71" s="2"/>
      <c r="P71" s="2"/>
      <c r="Q71" s="2" t="s">
        <v>71</v>
      </c>
      <c r="R71" s="2" t="s">
        <v>700</v>
      </c>
      <c r="S71" s="2"/>
      <c r="T71" s="2"/>
      <c r="U71" s="2"/>
      <c r="V71" s="2" t="s">
        <v>71</v>
      </c>
    </row>
    <row r="72" customFormat="false" ht="15" hidden="false" customHeight="false" outlineLevel="0" collapsed="false">
      <c r="A72" s="2" t="s">
        <v>698</v>
      </c>
      <c r="B72" s="2" t="s">
        <v>165</v>
      </c>
      <c r="C72" s="2" t="s">
        <v>165</v>
      </c>
      <c r="D72" s="2" t="s">
        <v>39</v>
      </c>
      <c r="E72" s="2" t="s">
        <v>699</v>
      </c>
      <c r="F72" s="2" t="s">
        <v>699</v>
      </c>
      <c r="G72" s="2" t="s">
        <v>393</v>
      </c>
      <c r="H72" s="2" t="n">
        <v>3.6672</v>
      </c>
      <c r="I72" s="2" t="n">
        <v>2021</v>
      </c>
      <c r="J72" s="2" t="n">
        <v>3.5962</v>
      </c>
      <c r="K72" s="2" t="n">
        <v>0.0332</v>
      </c>
      <c r="L72" s="2"/>
      <c r="M72" s="2"/>
      <c r="N72" s="2"/>
      <c r="O72" s="2"/>
      <c r="P72" s="2"/>
      <c r="Q72" s="2" t="s">
        <v>71</v>
      </c>
      <c r="R72" s="2" t="s">
        <v>700</v>
      </c>
      <c r="S72" s="2"/>
      <c r="T72" s="2"/>
      <c r="U72" s="2"/>
      <c r="V72" s="2" t="s">
        <v>71</v>
      </c>
    </row>
    <row r="73" customFormat="false" ht="15" hidden="false" customHeight="false" outlineLevel="0" collapsed="false">
      <c r="A73" s="2" t="s">
        <v>698</v>
      </c>
      <c r="B73" s="2" t="s">
        <v>166</v>
      </c>
      <c r="C73" s="2" t="s">
        <v>166</v>
      </c>
      <c r="D73" s="2" t="s">
        <v>39</v>
      </c>
      <c r="E73" s="2" t="s">
        <v>699</v>
      </c>
      <c r="F73" s="2" t="s">
        <v>699</v>
      </c>
      <c r="G73" s="2" t="s">
        <v>393</v>
      </c>
      <c r="H73" s="2" t="n">
        <v>3.69498</v>
      </c>
      <c r="I73" s="2" t="n">
        <v>2021</v>
      </c>
      <c r="J73" s="2" t="n">
        <v>3.62398</v>
      </c>
      <c r="K73" s="2" t="n">
        <v>0.07769</v>
      </c>
      <c r="L73" s="2"/>
      <c r="M73" s="2"/>
      <c r="N73" s="2"/>
      <c r="O73" s="2"/>
      <c r="P73" s="2"/>
      <c r="Q73" s="2" t="s">
        <v>71</v>
      </c>
      <c r="R73" s="2" t="s">
        <v>700</v>
      </c>
      <c r="S73" s="2"/>
      <c r="T73" s="2"/>
      <c r="U73" s="2"/>
      <c r="V73" s="2" t="s">
        <v>71</v>
      </c>
    </row>
    <row r="74" customFormat="false" ht="15" hidden="false" customHeight="false" outlineLevel="0" collapsed="false">
      <c r="A74" s="2" t="s">
        <v>698</v>
      </c>
      <c r="B74" s="2" t="s">
        <v>168</v>
      </c>
      <c r="C74" s="2" t="s">
        <v>168</v>
      </c>
      <c r="D74" s="2" t="s">
        <v>39</v>
      </c>
      <c r="E74" s="2" t="s">
        <v>120</v>
      </c>
      <c r="F74" s="2" t="s">
        <v>699</v>
      </c>
      <c r="G74" s="2" t="s">
        <v>393</v>
      </c>
      <c r="H74" s="2" t="n">
        <v>3.7</v>
      </c>
      <c r="I74" s="2" t="n">
        <v>1950</v>
      </c>
      <c r="J74" s="2" t="n">
        <v>3.7</v>
      </c>
      <c r="K74" s="2" t="n">
        <v>0.07</v>
      </c>
      <c r="L74" s="2"/>
      <c r="M74" s="2"/>
      <c r="N74" s="2"/>
      <c r="O74" s="2"/>
      <c r="P74" s="2"/>
      <c r="Q74" s="2" t="s">
        <v>71</v>
      </c>
      <c r="R74" s="2" t="s">
        <v>700</v>
      </c>
      <c r="S74" s="2"/>
      <c r="T74" s="2"/>
      <c r="U74" s="2"/>
      <c r="V74" s="2" t="s">
        <v>71</v>
      </c>
    </row>
    <row r="75" customFormat="false" ht="15" hidden="false" customHeight="false" outlineLevel="0" collapsed="false">
      <c r="A75" s="2" t="s">
        <v>698</v>
      </c>
      <c r="B75" s="2" t="s">
        <v>172</v>
      </c>
      <c r="C75" s="2" t="s">
        <v>172</v>
      </c>
      <c r="D75" s="2" t="s">
        <v>39</v>
      </c>
      <c r="E75" s="2" t="s">
        <v>699</v>
      </c>
      <c r="F75" s="2" t="s">
        <v>699</v>
      </c>
      <c r="G75" s="2" t="s">
        <v>393</v>
      </c>
      <c r="H75" s="2" t="n">
        <v>3.70903</v>
      </c>
      <c r="I75" s="2" t="n">
        <v>2021</v>
      </c>
      <c r="J75" s="2" t="n">
        <v>3.63803</v>
      </c>
      <c r="K75" s="2" t="n">
        <v>0.02793</v>
      </c>
      <c r="L75" s="2"/>
      <c r="M75" s="2"/>
      <c r="N75" s="2"/>
      <c r="O75" s="2"/>
      <c r="P75" s="2"/>
      <c r="Q75" s="2" t="s">
        <v>71</v>
      </c>
      <c r="R75" s="2" t="s">
        <v>700</v>
      </c>
      <c r="S75" s="2"/>
      <c r="T75" s="2"/>
      <c r="U75" s="2"/>
      <c r="V75" s="2" t="s">
        <v>71</v>
      </c>
    </row>
    <row r="76" customFormat="false" ht="15" hidden="false" customHeight="false" outlineLevel="0" collapsed="false">
      <c r="A76" s="2" t="s">
        <v>698</v>
      </c>
      <c r="B76" s="2" t="s">
        <v>156</v>
      </c>
      <c r="C76" s="2" t="s">
        <v>156</v>
      </c>
      <c r="D76" s="2" t="s">
        <v>39</v>
      </c>
      <c r="E76" s="2" t="s">
        <v>699</v>
      </c>
      <c r="F76" s="2" t="s">
        <v>699</v>
      </c>
      <c r="G76" s="2" t="s">
        <v>393</v>
      </c>
      <c r="H76" s="2" t="n">
        <v>3.7618</v>
      </c>
      <c r="I76" s="2" t="n">
        <v>2021</v>
      </c>
      <c r="J76" s="2" t="n">
        <v>3.6908</v>
      </c>
      <c r="K76" s="2" t="n">
        <v>0.0216</v>
      </c>
      <c r="L76" s="2"/>
      <c r="M76" s="2"/>
      <c r="N76" s="2"/>
      <c r="O76" s="2"/>
      <c r="P76" s="2"/>
      <c r="Q76" s="2" t="s">
        <v>71</v>
      </c>
      <c r="R76" s="2" t="s">
        <v>700</v>
      </c>
      <c r="S76" s="2"/>
      <c r="T76" s="2"/>
      <c r="U76" s="2"/>
      <c r="V76" s="2" t="s">
        <v>71</v>
      </c>
    </row>
    <row r="77" customFormat="false" ht="15" hidden="false" customHeight="false" outlineLevel="0" collapsed="false">
      <c r="A77" s="2" t="s">
        <v>698</v>
      </c>
      <c r="B77" s="2" t="s">
        <v>174</v>
      </c>
      <c r="C77" s="2" t="s">
        <v>174</v>
      </c>
      <c r="D77" s="2" t="s">
        <v>48</v>
      </c>
      <c r="E77" s="2" t="s">
        <v>699</v>
      </c>
      <c r="F77" s="2" t="s">
        <v>699</v>
      </c>
      <c r="G77" s="2" t="s">
        <v>393</v>
      </c>
      <c r="H77" s="2" t="n">
        <v>3.7759</v>
      </c>
      <c r="I77" s="2" t="n">
        <v>2021</v>
      </c>
      <c r="J77" s="2" t="n">
        <v>3.7049</v>
      </c>
      <c r="K77" s="2" t="n">
        <v>0.0244</v>
      </c>
      <c r="L77" s="2"/>
      <c r="M77" s="2"/>
      <c r="N77" s="2"/>
      <c r="O77" s="2"/>
      <c r="P77" s="2"/>
      <c r="Q77" s="2" t="s">
        <v>71</v>
      </c>
      <c r="R77" s="2" t="s">
        <v>700</v>
      </c>
      <c r="S77" s="2"/>
      <c r="T77" s="2"/>
      <c r="U77" s="2"/>
      <c r="V77" s="2" t="s">
        <v>43</v>
      </c>
    </row>
    <row r="78" customFormat="false" ht="15" hidden="false" customHeight="false" outlineLevel="0" collapsed="false">
      <c r="A78" s="2" t="s">
        <v>698</v>
      </c>
      <c r="B78" s="2" t="s">
        <v>176</v>
      </c>
      <c r="C78" s="2" t="s">
        <v>176</v>
      </c>
      <c r="D78" s="2" t="s">
        <v>39</v>
      </c>
      <c r="E78" s="2" t="s">
        <v>699</v>
      </c>
      <c r="F78" s="2" t="s">
        <v>699</v>
      </c>
      <c r="G78" s="2" t="s">
        <v>393</v>
      </c>
      <c r="H78" s="2" t="n">
        <v>3.8038</v>
      </c>
      <c r="I78" s="2" t="n">
        <v>2021</v>
      </c>
      <c r="J78" s="2" t="n">
        <v>3.7328</v>
      </c>
      <c r="K78" s="2" t="n">
        <v>0.0209</v>
      </c>
      <c r="L78" s="2"/>
      <c r="M78" s="2"/>
      <c r="N78" s="2"/>
      <c r="O78" s="2"/>
      <c r="P78" s="2"/>
      <c r="Q78" s="2" t="s">
        <v>71</v>
      </c>
      <c r="R78" s="2" t="s">
        <v>700</v>
      </c>
      <c r="S78" s="2"/>
      <c r="T78" s="2"/>
      <c r="U78" s="2"/>
      <c r="V78" s="2" t="s">
        <v>71</v>
      </c>
    </row>
    <row r="79" customFormat="false" ht="15" hidden="false" customHeight="false" outlineLevel="0" collapsed="false">
      <c r="A79" s="2" t="s">
        <v>698</v>
      </c>
      <c r="B79" s="2" t="s">
        <v>177</v>
      </c>
      <c r="C79" s="2" t="s">
        <v>177</v>
      </c>
      <c r="D79" s="2" t="s">
        <v>39</v>
      </c>
      <c r="E79" s="2" t="s">
        <v>699</v>
      </c>
      <c r="F79" s="2" t="s">
        <v>699</v>
      </c>
      <c r="G79" s="2" t="s">
        <v>393</v>
      </c>
      <c r="H79" s="2" t="n">
        <v>3.83756</v>
      </c>
      <c r="I79" s="2" t="n">
        <v>2021</v>
      </c>
      <c r="J79" s="2" t="n">
        <v>3.76656</v>
      </c>
      <c r="K79" s="2" t="n">
        <v>0.05795</v>
      </c>
      <c r="L79" s="2"/>
      <c r="M79" s="2"/>
      <c r="N79" s="2"/>
      <c r="O79" s="2"/>
      <c r="P79" s="2"/>
      <c r="Q79" s="2" t="s">
        <v>71</v>
      </c>
      <c r="R79" s="2" t="s">
        <v>700</v>
      </c>
      <c r="S79" s="2"/>
      <c r="T79" s="2"/>
      <c r="U79" s="2"/>
      <c r="V79" s="2" t="s">
        <v>71</v>
      </c>
    </row>
    <row r="80" customFormat="false" ht="15" hidden="false" customHeight="false" outlineLevel="0" collapsed="false">
      <c r="A80" s="2" t="s">
        <v>698</v>
      </c>
      <c r="B80" s="2" t="s">
        <v>178</v>
      </c>
      <c r="C80" s="2" t="s">
        <v>178</v>
      </c>
      <c r="D80" s="2" t="s">
        <v>39</v>
      </c>
      <c r="E80" s="2" t="s">
        <v>699</v>
      </c>
      <c r="F80" s="2" t="s">
        <v>699</v>
      </c>
      <c r="G80" s="2" t="s">
        <v>393</v>
      </c>
      <c r="H80" s="2" t="n">
        <v>3.96145</v>
      </c>
      <c r="I80" s="2" t="n">
        <v>2021</v>
      </c>
      <c r="J80" s="2" t="n">
        <v>3.89045</v>
      </c>
      <c r="K80" s="2" t="n">
        <v>0.05368</v>
      </c>
      <c r="L80" s="2"/>
      <c r="M80" s="2"/>
      <c r="N80" s="2"/>
      <c r="O80" s="2"/>
      <c r="P80" s="2"/>
      <c r="Q80" s="2" t="s">
        <v>71</v>
      </c>
      <c r="R80" s="2" t="s">
        <v>700</v>
      </c>
      <c r="S80" s="2"/>
      <c r="T80" s="2"/>
      <c r="U80" s="2"/>
      <c r="V80" s="2" t="s">
        <v>71</v>
      </c>
    </row>
    <row r="81" customFormat="false" ht="15" hidden="false" customHeight="false" outlineLevel="0" collapsed="false">
      <c r="A81" s="2" t="s">
        <v>698</v>
      </c>
      <c r="B81" s="2" t="s">
        <v>180</v>
      </c>
      <c r="C81" s="2" t="s">
        <v>180</v>
      </c>
      <c r="D81" s="2" t="s">
        <v>48</v>
      </c>
      <c r="E81" s="2" t="s">
        <v>699</v>
      </c>
      <c r="F81" s="2" t="s">
        <v>699</v>
      </c>
      <c r="G81" s="2" t="s">
        <v>393</v>
      </c>
      <c r="H81" s="2" t="n">
        <v>4.06057</v>
      </c>
      <c r="I81" s="2" t="n">
        <v>2021</v>
      </c>
      <c r="J81" s="2" t="n">
        <v>3.98957</v>
      </c>
      <c r="K81" s="2" t="n">
        <v>0.04477</v>
      </c>
      <c r="L81" s="2"/>
      <c r="M81" s="2"/>
      <c r="N81" s="2"/>
      <c r="O81" s="2"/>
      <c r="P81" s="2"/>
      <c r="Q81" s="2" t="s">
        <v>71</v>
      </c>
      <c r="R81" s="2" t="s">
        <v>700</v>
      </c>
      <c r="S81" s="2"/>
      <c r="T81" s="2"/>
      <c r="U81" s="2"/>
      <c r="V81" s="2" t="s">
        <v>43</v>
      </c>
    </row>
    <row r="82" customFormat="false" ht="15" hidden="false" customHeight="false" outlineLevel="0" collapsed="false">
      <c r="A82" s="2" t="s">
        <v>698</v>
      </c>
      <c r="B82" s="2" t="s">
        <v>182</v>
      </c>
      <c r="C82" s="2" t="s">
        <v>182</v>
      </c>
      <c r="D82" s="2" t="s">
        <v>39</v>
      </c>
      <c r="E82" s="2" t="s">
        <v>699</v>
      </c>
      <c r="F82" s="2" t="s">
        <v>699</v>
      </c>
      <c r="G82" s="2" t="s">
        <v>393</v>
      </c>
      <c r="H82" s="2" t="n">
        <v>4.07292</v>
      </c>
      <c r="I82" s="2" t="n">
        <v>2021</v>
      </c>
      <c r="J82" s="2" t="n">
        <v>4.00192</v>
      </c>
      <c r="K82" s="2" t="n">
        <v>0.07965</v>
      </c>
      <c r="L82" s="2"/>
      <c r="M82" s="2"/>
      <c r="N82" s="2"/>
      <c r="O82" s="2"/>
      <c r="P82" s="2"/>
      <c r="Q82" s="2" t="s">
        <v>71</v>
      </c>
      <c r="R82" s="2" t="s">
        <v>700</v>
      </c>
      <c r="S82" s="2"/>
      <c r="T82" s="2"/>
      <c r="U82" s="2"/>
      <c r="V82" s="2" t="s">
        <v>71</v>
      </c>
    </row>
    <row r="83" customFormat="false" ht="15" hidden="false" customHeight="false" outlineLevel="0" collapsed="false">
      <c r="A83" s="2" t="s">
        <v>698</v>
      </c>
      <c r="B83" s="2" t="s">
        <v>183</v>
      </c>
      <c r="C83" s="2" t="s">
        <v>183</v>
      </c>
      <c r="D83" s="2" t="s">
        <v>39</v>
      </c>
      <c r="E83" s="2" t="s">
        <v>120</v>
      </c>
      <c r="F83" s="2" t="s">
        <v>699</v>
      </c>
      <c r="G83" s="2" t="s">
        <v>393</v>
      </c>
      <c r="H83" s="2" t="n">
        <v>4.1</v>
      </c>
      <c r="I83" s="2" t="n">
        <v>1950</v>
      </c>
      <c r="J83" s="2" t="n">
        <v>4.1</v>
      </c>
      <c r="K83" s="2" t="n">
        <v>0.02</v>
      </c>
      <c r="L83" s="2"/>
      <c r="M83" s="2"/>
      <c r="N83" s="2"/>
      <c r="O83" s="2"/>
      <c r="P83" s="2"/>
      <c r="Q83" s="2" t="s">
        <v>71</v>
      </c>
      <c r="R83" s="2" t="s">
        <v>700</v>
      </c>
      <c r="S83" s="2"/>
      <c r="T83" s="2"/>
      <c r="U83" s="2"/>
      <c r="V83" s="2" t="s">
        <v>71</v>
      </c>
    </row>
    <row r="84" customFormat="false" ht="15" hidden="false" customHeight="false" outlineLevel="0" collapsed="false">
      <c r="A84" s="2" t="s">
        <v>698</v>
      </c>
      <c r="B84" s="2" t="s">
        <v>185</v>
      </c>
      <c r="C84" s="2" t="s">
        <v>185</v>
      </c>
      <c r="D84" s="2" t="s">
        <v>39</v>
      </c>
      <c r="E84" s="2" t="s">
        <v>120</v>
      </c>
      <c r="F84" s="2" t="s">
        <v>699</v>
      </c>
      <c r="G84" s="2" t="s">
        <v>393</v>
      </c>
      <c r="H84" s="2" t="n">
        <v>4.24</v>
      </c>
      <c r="I84" s="2" t="n">
        <v>1950</v>
      </c>
      <c r="J84" s="2" t="n">
        <v>4.24</v>
      </c>
      <c r="K84" s="2" t="n">
        <v>0.03</v>
      </c>
      <c r="L84" s="2"/>
      <c r="M84" s="2"/>
      <c r="N84" s="2"/>
      <c r="O84" s="2"/>
      <c r="P84" s="2"/>
      <c r="Q84" s="2" t="s">
        <v>71</v>
      </c>
      <c r="R84" s="2" t="s">
        <v>700</v>
      </c>
      <c r="S84" s="2"/>
      <c r="T84" s="2"/>
      <c r="U84" s="2"/>
      <c r="V84" s="2" t="s">
        <v>71</v>
      </c>
    </row>
    <row r="85" customFormat="false" ht="15" hidden="false" customHeight="false" outlineLevel="0" collapsed="false">
      <c r="A85" s="2" t="s">
        <v>698</v>
      </c>
      <c r="B85" s="2" t="s">
        <v>187</v>
      </c>
      <c r="C85" s="2" t="s">
        <v>187</v>
      </c>
      <c r="D85" s="2" t="s">
        <v>39</v>
      </c>
      <c r="E85" s="2" t="s">
        <v>120</v>
      </c>
      <c r="F85" s="2" t="s">
        <v>699</v>
      </c>
      <c r="G85" s="2" t="s">
        <v>393</v>
      </c>
      <c r="H85" s="2" t="n">
        <v>4.3</v>
      </c>
      <c r="I85" s="2" t="n">
        <v>1950</v>
      </c>
      <c r="J85" s="2" t="n">
        <v>4.3</v>
      </c>
      <c r="K85" s="2" t="n">
        <v>0.04</v>
      </c>
      <c r="L85" s="2"/>
      <c r="M85" s="2"/>
      <c r="N85" s="2"/>
      <c r="O85" s="2"/>
      <c r="P85" s="2"/>
      <c r="Q85" s="2" t="s">
        <v>71</v>
      </c>
      <c r="R85" s="2" t="s">
        <v>700</v>
      </c>
      <c r="S85" s="2"/>
      <c r="T85" s="2"/>
      <c r="U85" s="2"/>
      <c r="V85" s="2" t="s">
        <v>71</v>
      </c>
    </row>
    <row r="86" customFormat="false" ht="15" hidden="false" customHeight="false" outlineLevel="0" collapsed="false">
      <c r="A86" s="2" t="s">
        <v>698</v>
      </c>
      <c r="B86" s="2" t="s">
        <v>188</v>
      </c>
      <c r="C86" s="2" t="s">
        <v>188</v>
      </c>
      <c r="D86" s="2" t="s">
        <v>39</v>
      </c>
      <c r="E86" s="2" t="s">
        <v>120</v>
      </c>
      <c r="F86" s="2" t="s">
        <v>699</v>
      </c>
      <c r="G86" s="2" t="s">
        <v>393</v>
      </c>
      <c r="H86" s="2" t="n">
        <v>4.5</v>
      </c>
      <c r="I86" s="2" t="n">
        <v>1950</v>
      </c>
      <c r="J86" s="2" t="n">
        <v>4.5</v>
      </c>
      <c r="K86" s="2" t="n">
        <v>0.03</v>
      </c>
      <c r="L86" s="2"/>
      <c r="M86" s="2"/>
      <c r="N86" s="2"/>
      <c r="O86" s="2"/>
      <c r="P86" s="2"/>
      <c r="Q86" s="2" t="s">
        <v>71</v>
      </c>
      <c r="R86" s="2" t="s">
        <v>700</v>
      </c>
      <c r="S86" s="2"/>
      <c r="T86" s="2"/>
      <c r="U86" s="2"/>
      <c r="V86" s="2" t="s">
        <v>71</v>
      </c>
    </row>
    <row r="87" customFormat="false" ht="15" hidden="false" customHeight="false" outlineLevel="0" collapsed="false">
      <c r="A87" s="2" t="s">
        <v>698</v>
      </c>
      <c r="B87" s="2" t="s">
        <v>190</v>
      </c>
      <c r="C87" s="2" t="s">
        <v>190</v>
      </c>
      <c r="D87" s="2" t="s">
        <v>39</v>
      </c>
      <c r="E87" s="2" t="s">
        <v>120</v>
      </c>
      <c r="F87" s="2" t="s">
        <v>699</v>
      </c>
      <c r="G87" s="2" t="s">
        <v>393</v>
      </c>
      <c r="H87" s="2" t="n">
        <v>4.54</v>
      </c>
      <c r="I87" s="2" t="n">
        <v>1950</v>
      </c>
      <c r="J87" s="2" t="n">
        <v>4.54</v>
      </c>
      <c r="K87" s="2" t="n">
        <v>0.11</v>
      </c>
      <c r="L87" s="2"/>
      <c r="M87" s="2"/>
      <c r="N87" s="2"/>
      <c r="O87" s="2"/>
      <c r="P87" s="2"/>
      <c r="Q87" s="2" t="s">
        <v>71</v>
      </c>
      <c r="R87" s="2" t="s">
        <v>700</v>
      </c>
      <c r="S87" s="2"/>
      <c r="T87" s="2"/>
      <c r="U87" s="2"/>
      <c r="V87" s="2" t="s">
        <v>71</v>
      </c>
    </row>
    <row r="88" customFormat="false" ht="15" hidden="false" customHeight="false" outlineLevel="0" collapsed="false">
      <c r="A88" s="2" t="s">
        <v>698</v>
      </c>
      <c r="B88" s="2" t="s">
        <v>192</v>
      </c>
      <c r="C88" s="2" t="s">
        <v>192</v>
      </c>
      <c r="D88" s="2" t="s">
        <v>48</v>
      </c>
      <c r="E88" s="2" t="s">
        <v>699</v>
      </c>
      <c r="F88" s="2" t="s">
        <v>699</v>
      </c>
      <c r="G88" s="2" t="s">
        <v>393</v>
      </c>
      <c r="H88" s="2" t="n">
        <v>4.6136</v>
      </c>
      <c r="I88" s="2" t="n">
        <v>2021</v>
      </c>
      <c r="J88" s="2" t="n">
        <v>4.5426</v>
      </c>
      <c r="K88" s="2" t="n">
        <v>0.0205</v>
      </c>
      <c r="L88" s="2"/>
      <c r="M88" s="2"/>
      <c r="N88" s="2"/>
      <c r="O88" s="2"/>
      <c r="P88" s="2"/>
      <c r="Q88" s="2" t="s">
        <v>71</v>
      </c>
      <c r="R88" s="2" t="s">
        <v>700</v>
      </c>
      <c r="S88" s="2"/>
      <c r="T88" s="2"/>
      <c r="U88" s="2"/>
      <c r="V88" s="2" t="s">
        <v>43</v>
      </c>
    </row>
    <row r="89" customFormat="false" ht="15" hidden="false" customHeight="false" outlineLevel="0" collapsed="false">
      <c r="A89" s="2" t="s">
        <v>698</v>
      </c>
      <c r="B89" s="2" t="s">
        <v>193</v>
      </c>
      <c r="C89" s="2" t="s">
        <v>193</v>
      </c>
      <c r="D89" s="2" t="s">
        <v>39</v>
      </c>
      <c r="E89" s="2" t="s">
        <v>120</v>
      </c>
      <c r="F89" s="2" t="s">
        <v>699</v>
      </c>
      <c r="G89" s="2" t="s">
        <v>393</v>
      </c>
      <c r="H89" s="2" t="n">
        <v>4.68</v>
      </c>
      <c r="I89" s="2" t="n">
        <v>1950</v>
      </c>
      <c r="J89" s="2" t="n">
        <v>4.68</v>
      </c>
      <c r="K89" s="2" t="n">
        <v>0.04</v>
      </c>
      <c r="L89" s="2"/>
      <c r="M89" s="2"/>
      <c r="N89" s="2"/>
      <c r="O89" s="2"/>
      <c r="P89" s="2"/>
      <c r="Q89" s="2" t="s">
        <v>71</v>
      </c>
      <c r="R89" s="2" t="s">
        <v>700</v>
      </c>
      <c r="S89" s="2"/>
      <c r="T89" s="2"/>
      <c r="U89" s="2"/>
      <c r="V89" s="2" t="s">
        <v>71</v>
      </c>
    </row>
    <row r="90" customFormat="false" ht="15" hidden="false" customHeight="false" outlineLevel="0" collapsed="false">
      <c r="A90" s="2" t="s">
        <v>698</v>
      </c>
      <c r="B90" s="2" t="s">
        <v>195</v>
      </c>
      <c r="C90" s="2" t="s">
        <v>195</v>
      </c>
      <c r="D90" s="2" t="s">
        <v>39</v>
      </c>
      <c r="E90" s="2" t="s">
        <v>120</v>
      </c>
      <c r="F90" s="2" t="s">
        <v>699</v>
      </c>
      <c r="G90" s="2" t="s">
        <v>393</v>
      </c>
      <c r="H90" s="2" t="n">
        <v>4.95</v>
      </c>
      <c r="I90" s="2" t="n">
        <v>1950</v>
      </c>
      <c r="J90" s="2" t="n">
        <v>4.95</v>
      </c>
      <c r="K90" s="2" t="n">
        <v>0.04</v>
      </c>
      <c r="L90" s="2"/>
      <c r="M90" s="2"/>
      <c r="N90" s="2"/>
      <c r="O90" s="2"/>
      <c r="P90" s="2"/>
      <c r="Q90" s="2" t="s">
        <v>71</v>
      </c>
      <c r="R90" s="2" t="s">
        <v>700</v>
      </c>
      <c r="S90" s="2"/>
      <c r="T90" s="2"/>
      <c r="U90" s="2"/>
      <c r="V90" s="2" t="s">
        <v>71</v>
      </c>
    </row>
    <row r="91" customFormat="false" ht="15" hidden="false" customHeight="false" outlineLevel="0" collapsed="false">
      <c r="A91" s="2" t="s">
        <v>698</v>
      </c>
      <c r="B91" s="2" t="s">
        <v>197</v>
      </c>
      <c r="C91" s="2" t="s">
        <v>197</v>
      </c>
      <c r="D91" s="2" t="s">
        <v>39</v>
      </c>
      <c r="E91" s="2" t="s">
        <v>120</v>
      </c>
      <c r="F91" s="2" t="s">
        <v>699</v>
      </c>
      <c r="G91" s="2" t="s">
        <v>393</v>
      </c>
      <c r="H91" s="2" t="n">
        <v>4.97</v>
      </c>
      <c r="I91" s="2" t="n">
        <v>1950</v>
      </c>
      <c r="J91" s="2" t="n">
        <v>4.97</v>
      </c>
      <c r="K91" s="2" t="n">
        <v>0.04</v>
      </c>
      <c r="L91" s="2"/>
      <c r="M91" s="2"/>
      <c r="N91" s="2"/>
      <c r="O91" s="2"/>
      <c r="P91" s="2"/>
      <c r="Q91" s="2" t="s">
        <v>71</v>
      </c>
      <c r="R91" s="2" t="s">
        <v>700</v>
      </c>
      <c r="S91" s="2"/>
      <c r="T91" s="2"/>
      <c r="U91" s="2"/>
      <c r="V91" s="2" t="s">
        <v>71</v>
      </c>
    </row>
    <row r="92" customFormat="false" ht="15" hidden="false" customHeight="false" outlineLevel="0" collapsed="false">
      <c r="A92" s="2" t="s">
        <v>698</v>
      </c>
      <c r="B92" s="2" t="s">
        <v>198</v>
      </c>
      <c r="C92" s="2" t="s">
        <v>198</v>
      </c>
      <c r="D92" s="2" t="s">
        <v>39</v>
      </c>
      <c r="E92" s="2" t="s">
        <v>120</v>
      </c>
      <c r="F92" s="2" t="s">
        <v>699</v>
      </c>
      <c r="G92" s="2" t="s">
        <v>393</v>
      </c>
      <c r="H92" s="2" t="n">
        <v>5.46</v>
      </c>
      <c r="I92" s="2" t="n">
        <v>1950</v>
      </c>
      <c r="J92" s="2" t="n">
        <v>5.46</v>
      </c>
      <c r="K92" s="2" t="n">
        <v>0.03</v>
      </c>
      <c r="L92" s="2"/>
      <c r="M92" s="2"/>
      <c r="N92" s="2"/>
      <c r="O92" s="2"/>
      <c r="P92" s="2"/>
      <c r="Q92" s="2" t="s">
        <v>71</v>
      </c>
      <c r="R92" s="2" t="s">
        <v>700</v>
      </c>
      <c r="S92" s="2"/>
      <c r="T92" s="2"/>
      <c r="U92" s="2"/>
      <c r="V92" s="2" t="s">
        <v>71</v>
      </c>
    </row>
    <row r="93" customFormat="false" ht="15" hidden="false" customHeight="false" outlineLevel="0" collapsed="false">
      <c r="A93" s="2" t="s">
        <v>701</v>
      </c>
      <c r="B93" s="2" t="s">
        <v>254</v>
      </c>
      <c r="C93" s="2" t="s">
        <v>254</v>
      </c>
      <c r="D93" s="2" t="s">
        <v>48</v>
      </c>
      <c r="E93" s="2" t="s">
        <v>702</v>
      </c>
      <c r="F93" s="2" t="s">
        <v>703</v>
      </c>
      <c r="G93" s="2" t="s">
        <v>257</v>
      </c>
      <c r="H93" s="2" t="n">
        <v>0.15</v>
      </c>
      <c r="I93" s="2" t="n">
        <v>1950</v>
      </c>
      <c r="J93" s="2" t="n">
        <v>0.053</v>
      </c>
      <c r="K93" s="2" t="n">
        <v>0.106</v>
      </c>
      <c r="L93" s="2" t="n">
        <v>540</v>
      </c>
      <c r="M93" s="2" t="n">
        <v>60</v>
      </c>
      <c r="N93" s="2" t="n">
        <v>64</v>
      </c>
      <c r="O93" s="2" t="n">
        <v>32</v>
      </c>
      <c r="P93" s="2" t="s">
        <v>704</v>
      </c>
      <c r="Q93" s="2" t="s">
        <v>71</v>
      </c>
      <c r="R93" s="2" t="s">
        <v>700</v>
      </c>
      <c r="S93" s="2"/>
      <c r="T93" s="2"/>
      <c r="U93" s="2"/>
      <c r="V93" s="2" t="s">
        <v>43</v>
      </c>
    </row>
    <row r="94" customFormat="false" ht="15" hidden="false" customHeight="false" outlineLevel="0" collapsed="false">
      <c r="A94" s="2" t="s">
        <v>701</v>
      </c>
      <c r="B94" s="2" t="s">
        <v>259</v>
      </c>
      <c r="C94" s="2" t="s">
        <v>259</v>
      </c>
      <c r="D94" s="2" t="s">
        <v>48</v>
      </c>
      <c r="E94" s="2" t="s">
        <v>702</v>
      </c>
      <c r="F94" s="2" t="s">
        <v>703</v>
      </c>
      <c r="G94" s="2" t="s">
        <v>257</v>
      </c>
      <c r="H94" s="2" t="n">
        <v>0.25</v>
      </c>
      <c r="I94" s="2" t="n">
        <v>1950</v>
      </c>
      <c r="J94" s="2" t="n">
        <v>0.059</v>
      </c>
      <c r="K94" s="2" t="n">
        <v>0.1115</v>
      </c>
      <c r="L94" s="2" t="n">
        <v>590</v>
      </c>
      <c r="M94" s="2" t="n">
        <v>50</v>
      </c>
      <c r="N94" s="2" t="n">
        <v>64</v>
      </c>
      <c r="O94" s="2" t="n">
        <v>32</v>
      </c>
      <c r="P94" s="2" t="s">
        <v>704</v>
      </c>
      <c r="Q94" s="2" t="s">
        <v>71</v>
      </c>
      <c r="R94" s="2" t="s">
        <v>700</v>
      </c>
      <c r="S94" s="2"/>
      <c r="T94" s="2"/>
      <c r="U94" s="2"/>
      <c r="V94" s="2" t="s">
        <v>43</v>
      </c>
    </row>
    <row r="95" customFormat="false" ht="15" hidden="false" customHeight="false" outlineLevel="0" collapsed="false">
      <c r="A95" s="2" t="s">
        <v>701</v>
      </c>
      <c r="B95" s="2" t="s">
        <v>261</v>
      </c>
      <c r="C95" s="2" t="s">
        <v>261</v>
      </c>
      <c r="D95" s="2" t="s">
        <v>39</v>
      </c>
      <c r="E95" s="2" t="s">
        <v>702</v>
      </c>
      <c r="F95" s="2" t="s">
        <v>703</v>
      </c>
      <c r="G95" s="2" t="s">
        <v>257</v>
      </c>
      <c r="H95" s="2" t="n">
        <v>0.265</v>
      </c>
      <c r="I95" s="2" t="n">
        <v>1950</v>
      </c>
      <c r="J95" s="2" t="n">
        <v>0.073</v>
      </c>
      <c r="K95" s="2" t="n">
        <v>0.12</v>
      </c>
      <c r="L95" s="2" t="n">
        <v>620</v>
      </c>
      <c r="M95" s="2" t="n">
        <v>60</v>
      </c>
      <c r="N95" s="2" t="n">
        <v>64</v>
      </c>
      <c r="O95" s="2" t="n">
        <v>32</v>
      </c>
      <c r="P95" s="2" t="s">
        <v>704</v>
      </c>
      <c r="Q95" s="2" t="s">
        <v>71</v>
      </c>
      <c r="R95" s="2" t="s">
        <v>700</v>
      </c>
      <c r="S95" s="2"/>
      <c r="T95" s="2"/>
      <c r="U95" s="2"/>
      <c r="V95" s="2" t="s">
        <v>71</v>
      </c>
    </row>
    <row r="96" customFormat="false" ht="15" hidden="false" customHeight="false" outlineLevel="0" collapsed="false">
      <c r="A96" s="2" t="s">
        <v>701</v>
      </c>
      <c r="B96" s="2" t="s">
        <v>263</v>
      </c>
      <c r="C96" s="2" t="s">
        <v>263</v>
      </c>
      <c r="D96" s="2" t="s">
        <v>39</v>
      </c>
      <c r="E96" s="2" t="s">
        <v>702</v>
      </c>
      <c r="F96" s="2" t="s">
        <v>703</v>
      </c>
      <c r="G96" s="2" t="s">
        <v>257</v>
      </c>
      <c r="H96" s="2" t="n">
        <v>0.285</v>
      </c>
      <c r="I96" s="2" t="n">
        <v>1950</v>
      </c>
      <c r="J96" s="2" t="n">
        <v>0.089</v>
      </c>
      <c r="K96" s="2" t="n">
        <v>0.1275</v>
      </c>
      <c r="L96" s="2" t="n">
        <v>660</v>
      </c>
      <c r="M96" s="2" t="n">
        <v>60</v>
      </c>
      <c r="N96" s="2" t="n">
        <v>64</v>
      </c>
      <c r="O96" s="2" t="n">
        <v>32</v>
      </c>
      <c r="P96" s="2" t="s">
        <v>704</v>
      </c>
      <c r="Q96" s="2" t="s">
        <v>71</v>
      </c>
      <c r="R96" s="2" t="s">
        <v>700</v>
      </c>
      <c r="S96" s="2"/>
      <c r="T96" s="2"/>
      <c r="U96" s="2"/>
      <c r="V96" s="2" t="s">
        <v>71</v>
      </c>
    </row>
    <row r="97" customFormat="false" ht="15" hidden="false" customHeight="false" outlineLevel="0" collapsed="false">
      <c r="A97" s="2" t="s">
        <v>701</v>
      </c>
      <c r="B97" s="2" t="s">
        <v>264</v>
      </c>
      <c r="C97" s="2" t="s">
        <v>264</v>
      </c>
      <c r="D97" s="2" t="s">
        <v>48</v>
      </c>
      <c r="E97" s="2" t="s">
        <v>702</v>
      </c>
      <c r="F97" s="2" t="s">
        <v>703</v>
      </c>
      <c r="G97" s="2" t="s">
        <v>257</v>
      </c>
      <c r="H97" s="2" t="n">
        <v>0.4</v>
      </c>
      <c r="I97" s="2" t="n">
        <v>1950</v>
      </c>
      <c r="J97" s="2" t="n">
        <v>0.148</v>
      </c>
      <c r="K97" s="2" t="n">
        <v>0.163</v>
      </c>
      <c r="L97" s="2" t="n">
        <v>750</v>
      </c>
      <c r="M97" s="2" t="n">
        <v>60</v>
      </c>
      <c r="N97" s="2" t="n">
        <v>64</v>
      </c>
      <c r="O97" s="2" t="n">
        <v>32</v>
      </c>
      <c r="P97" s="2" t="s">
        <v>704</v>
      </c>
      <c r="Q97" s="2" t="s">
        <v>71</v>
      </c>
      <c r="R97" s="2" t="s">
        <v>700</v>
      </c>
      <c r="S97" s="2"/>
      <c r="T97" s="2"/>
      <c r="U97" s="2"/>
      <c r="V97" s="2" t="s">
        <v>43</v>
      </c>
    </row>
    <row r="98" customFormat="false" ht="15" hidden="false" customHeight="false" outlineLevel="0" collapsed="false">
      <c r="A98" s="2" t="s">
        <v>701</v>
      </c>
      <c r="B98" s="2" t="s">
        <v>265</v>
      </c>
      <c r="C98" s="2" t="s">
        <v>265</v>
      </c>
      <c r="D98" s="2" t="s">
        <v>39</v>
      </c>
      <c r="E98" s="2" t="s">
        <v>702</v>
      </c>
      <c r="F98" s="2" t="s">
        <v>703</v>
      </c>
      <c r="G98" s="2" t="s">
        <v>257</v>
      </c>
      <c r="H98" s="2" t="n">
        <v>0.865</v>
      </c>
      <c r="I98" s="2" t="n">
        <v>1950</v>
      </c>
      <c r="J98" s="2" t="n">
        <v>0.644</v>
      </c>
      <c r="K98" s="2" t="n">
        <v>0.1595</v>
      </c>
      <c r="L98" s="2" t="n">
        <v>1310</v>
      </c>
      <c r="M98" s="2" t="n">
        <v>60</v>
      </c>
      <c r="N98" s="2" t="n">
        <v>64</v>
      </c>
      <c r="O98" s="2" t="n">
        <v>32</v>
      </c>
      <c r="P98" s="2" t="s">
        <v>704</v>
      </c>
      <c r="Q98" s="2" t="s">
        <v>71</v>
      </c>
      <c r="R98" s="2" t="s">
        <v>700</v>
      </c>
      <c r="S98" s="2"/>
      <c r="T98" s="2"/>
      <c r="U98" s="2"/>
      <c r="V98" s="2" t="s">
        <v>71</v>
      </c>
    </row>
    <row r="99" customFormat="false" ht="15" hidden="false" customHeight="false" outlineLevel="0" collapsed="false">
      <c r="A99" s="2" t="s">
        <v>701</v>
      </c>
      <c r="B99" s="2" t="s">
        <v>266</v>
      </c>
      <c r="C99" s="2" t="s">
        <v>266</v>
      </c>
      <c r="D99" s="2" t="s">
        <v>39</v>
      </c>
      <c r="E99" s="2" t="s">
        <v>702</v>
      </c>
      <c r="F99" s="2" t="s">
        <v>703</v>
      </c>
      <c r="G99" s="2" t="s">
        <v>257</v>
      </c>
      <c r="H99" s="2" t="n">
        <v>0.97</v>
      </c>
      <c r="I99" s="2" t="n">
        <v>1950</v>
      </c>
      <c r="J99" s="2" t="n">
        <v>0.775</v>
      </c>
      <c r="K99" s="2" t="n">
        <v>0.1805</v>
      </c>
      <c r="L99" s="2" t="n">
        <v>1450</v>
      </c>
      <c r="M99" s="2" t="n">
        <v>70</v>
      </c>
      <c r="N99" s="2" t="n">
        <v>64</v>
      </c>
      <c r="O99" s="2" t="n">
        <v>32</v>
      </c>
      <c r="P99" s="2" t="s">
        <v>704</v>
      </c>
      <c r="Q99" s="2" t="s">
        <v>71</v>
      </c>
      <c r="R99" s="2" t="s">
        <v>700</v>
      </c>
      <c r="S99" s="2"/>
      <c r="T99" s="2"/>
      <c r="U99" s="2"/>
      <c r="V99" s="2" t="s">
        <v>71</v>
      </c>
    </row>
    <row r="100" customFormat="false" ht="15" hidden="false" customHeight="false" outlineLevel="0" collapsed="false">
      <c r="A100" s="2" t="s">
        <v>701</v>
      </c>
      <c r="B100" s="2" t="s">
        <v>267</v>
      </c>
      <c r="C100" s="2" t="s">
        <v>267</v>
      </c>
      <c r="D100" s="2" t="s">
        <v>39</v>
      </c>
      <c r="E100" s="2" t="s">
        <v>702</v>
      </c>
      <c r="F100" s="2" t="s">
        <v>703</v>
      </c>
      <c r="G100" s="2" t="s">
        <v>257</v>
      </c>
      <c r="H100" s="2" t="n">
        <v>1.045</v>
      </c>
      <c r="I100" s="2" t="n">
        <v>1950</v>
      </c>
      <c r="J100" s="2" t="n">
        <v>0.829</v>
      </c>
      <c r="K100" s="2" t="n">
        <v>0.187</v>
      </c>
      <c r="L100" s="2" t="n">
        <v>1510</v>
      </c>
      <c r="M100" s="2" t="n">
        <v>70</v>
      </c>
      <c r="N100" s="2" t="n">
        <v>64</v>
      </c>
      <c r="O100" s="2" t="n">
        <v>32</v>
      </c>
      <c r="P100" s="2" t="s">
        <v>704</v>
      </c>
      <c r="Q100" s="2" t="s">
        <v>71</v>
      </c>
      <c r="R100" s="2" t="s">
        <v>700</v>
      </c>
      <c r="S100" s="2"/>
      <c r="T100" s="2"/>
      <c r="U100" s="2"/>
      <c r="V100" s="2" t="s">
        <v>71</v>
      </c>
    </row>
    <row r="101" customFormat="false" ht="15" hidden="false" customHeight="false" outlineLevel="0" collapsed="false">
      <c r="A101" s="2" t="s">
        <v>701</v>
      </c>
      <c r="B101" s="2" t="s">
        <v>268</v>
      </c>
      <c r="C101" s="2" t="s">
        <v>268</v>
      </c>
      <c r="D101" s="2" t="s">
        <v>39</v>
      </c>
      <c r="E101" s="2" t="s">
        <v>702</v>
      </c>
      <c r="F101" s="2" t="s">
        <v>703</v>
      </c>
      <c r="G101" s="2" t="s">
        <v>257</v>
      </c>
      <c r="H101" s="2" t="n">
        <v>1.075</v>
      </c>
      <c r="I101" s="2" t="n">
        <v>1950</v>
      </c>
      <c r="J101" s="2" t="n">
        <v>0.856</v>
      </c>
      <c r="K101" s="2" t="n">
        <v>0.1805</v>
      </c>
      <c r="L101" s="2" t="n">
        <v>1540</v>
      </c>
      <c r="M101" s="2" t="n">
        <v>60</v>
      </c>
      <c r="N101" s="2" t="n">
        <v>64</v>
      </c>
      <c r="O101" s="2" t="n">
        <v>32</v>
      </c>
      <c r="P101" s="2" t="s">
        <v>704</v>
      </c>
      <c r="Q101" s="2" t="s">
        <v>71</v>
      </c>
      <c r="R101" s="2" t="s">
        <v>700</v>
      </c>
      <c r="S101" s="2"/>
      <c r="T101" s="2"/>
      <c r="U101" s="2"/>
      <c r="V101" s="2" t="s">
        <v>71</v>
      </c>
    </row>
    <row r="102" customFormat="false" ht="15" hidden="false" customHeight="false" outlineLevel="0" collapsed="false">
      <c r="A102" s="2" t="s">
        <v>701</v>
      </c>
      <c r="B102" s="2" t="s">
        <v>269</v>
      </c>
      <c r="C102" s="2" t="s">
        <v>270</v>
      </c>
      <c r="D102" s="2" t="s">
        <v>39</v>
      </c>
      <c r="E102" s="2" t="s">
        <v>702</v>
      </c>
      <c r="F102" s="2" t="s">
        <v>703</v>
      </c>
      <c r="G102" s="2" t="s">
        <v>257</v>
      </c>
      <c r="H102" s="2" t="n">
        <v>1.18</v>
      </c>
      <c r="I102" s="2" t="n">
        <v>1950</v>
      </c>
      <c r="J102" s="2" t="n">
        <v>0.955</v>
      </c>
      <c r="K102" s="2" t="n">
        <v>0.206</v>
      </c>
      <c r="L102" s="2" t="n">
        <v>1630</v>
      </c>
      <c r="M102" s="2" t="n">
        <v>70</v>
      </c>
      <c r="N102" s="2" t="n">
        <v>64</v>
      </c>
      <c r="O102" s="2" t="n">
        <v>32</v>
      </c>
      <c r="P102" s="2" t="s">
        <v>704</v>
      </c>
      <c r="Q102" s="2" t="s">
        <v>71</v>
      </c>
      <c r="R102" s="2" t="s">
        <v>700</v>
      </c>
      <c r="S102" s="2"/>
      <c r="T102" s="2"/>
      <c r="U102" s="2"/>
      <c r="V102" s="2" t="s">
        <v>71</v>
      </c>
    </row>
    <row r="103" customFormat="false" ht="15" hidden="false" customHeight="false" outlineLevel="0" collapsed="false">
      <c r="A103" s="2" t="s">
        <v>701</v>
      </c>
      <c r="B103" s="2" t="s">
        <v>270</v>
      </c>
      <c r="C103" s="2" t="s">
        <v>270</v>
      </c>
      <c r="D103" s="2" t="s">
        <v>39</v>
      </c>
      <c r="E103" s="2" t="s">
        <v>702</v>
      </c>
      <c r="F103" s="2" t="s">
        <v>703</v>
      </c>
      <c r="G103" s="2" t="s">
        <v>257</v>
      </c>
      <c r="H103" s="2" t="n">
        <v>1.18</v>
      </c>
      <c r="I103" s="2" t="n">
        <v>1950</v>
      </c>
      <c r="J103" s="2" t="n">
        <v>0.955</v>
      </c>
      <c r="K103" s="2" t="n">
        <v>0.206</v>
      </c>
      <c r="L103" s="2" t="n">
        <v>1630</v>
      </c>
      <c r="M103" s="2" t="n">
        <v>70</v>
      </c>
      <c r="N103" s="2" t="n">
        <v>64</v>
      </c>
      <c r="O103" s="2" t="n">
        <v>32</v>
      </c>
      <c r="P103" s="2" t="s">
        <v>704</v>
      </c>
      <c r="Q103" s="2" t="s">
        <v>43</v>
      </c>
      <c r="R103" s="2" t="s">
        <v>700</v>
      </c>
      <c r="S103" s="2"/>
      <c r="T103" s="2"/>
      <c r="U103" s="2"/>
      <c r="V103" s="2" t="s">
        <v>43</v>
      </c>
    </row>
    <row r="104" customFormat="false" ht="15" hidden="false" customHeight="false" outlineLevel="0" collapsed="false">
      <c r="A104" s="2" t="s">
        <v>701</v>
      </c>
      <c r="B104" s="2" t="s">
        <v>272</v>
      </c>
      <c r="C104" s="2" t="s">
        <v>272</v>
      </c>
      <c r="D104" s="2" t="s">
        <v>39</v>
      </c>
      <c r="E104" s="2" t="s">
        <v>702</v>
      </c>
      <c r="F104" s="2" t="s">
        <v>703</v>
      </c>
      <c r="G104" s="2" t="s">
        <v>257</v>
      </c>
      <c r="H104" s="2" t="n">
        <v>1.345</v>
      </c>
      <c r="I104" s="2" t="n">
        <v>1950</v>
      </c>
      <c r="J104" s="2" t="n">
        <v>1.16</v>
      </c>
      <c r="K104" s="2" t="n">
        <v>0.1775</v>
      </c>
      <c r="L104" s="2" t="n">
        <v>1830</v>
      </c>
      <c r="M104" s="2" t="n">
        <v>60</v>
      </c>
      <c r="N104" s="2" t="n">
        <v>64</v>
      </c>
      <c r="O104" s="2" t="n">
        <v>32</v>
      </c>
      <c r="P104" s="2" t="s">
        <v>704</v>
      </c>
      <c r="Q104" s="2" t="s">
        <v>71</v>
      </c>
      <c r="R104" s="2" t="s">
        <v>700</v>
      </c>
      <c r="S104" s="2"/>
      <c r="T104" s="2"/>
      <c r="U104" s="2"/>
      <c r="V104" s="2" t="s">
        <v>71</v>
      </c>
    </row>
    <row r="105" customFormat="false" ht="15" hidden="false" customHeight="false" outlineLevel="0" collapsed="false">
      <c r="A105" s="2" t="s">
        <v>701</v>
      </c>
      <c r="B105" s="2" t="s">
        <v>273</v>
      </c>
      <c r="C105" s="2" t="s">
        <v>273</v>
      </c>
      <c r="D105" s="2" t="s">
        <v>48</v>
      </c>
      <c r="E105" s="2" t="s">
        <v>702</v>
      </c>
      <c r="F105" s="2" t="s">
        <v>703</v>
      </c>
      <c r="G105" s="2" t="s">
        <v>257</v>
      </c>
      <c r="H105" s="2" t="n">
        <v>1.555</v>
      </c>
      <c r="I105" s="2" t="n">
        <v>1950</v>
      </c>
      <c r="J105" s="2" t="n">
        <v>1.355</v>
      </c>
      <c r="K105" s="2" t="n">
        <v>0.197</v>
      </c>
      <c r="L105" s="2" t="n">
        <v>2020</v>
      </c>
      <c r="M105" s="2" t="n">
        <v>70</v>
      </c>
      <c r="N105" s="2" t="n">
        <v>64</v>
      </c>
      <c r="O105" s="2" t="n">
        <v>32</v>
      </c>
      <c r="P105" s="2" t="s">
        <v>704</v>
      </c>
      <c r="Q105" s="2" t="s">
        <v>71</v>
      </c>
      <c r="R105" s="2" t="s">
        <v>700</v>
      </c>
      <c r="S105" s="2"/>
      <c r="T105" s="2"/>
      <c r="U105" s="2"/>
      <c r="V105" s="2" t="s">
        <v>43</v>
      </c>
    </row>
    <row r="106" customFormat="false" ht="15" hidden="false" customHeight="false" outlineLevel="0" collapsed="false">
      <c r="A106" s="2" t="s">
        <v>701</v>
      </c>
      <c r="B106" s="2" t="s">
        <v>274</v>
      </c>
      <c r="C106" s="2" t="s">
        <v>274</v>
      </c>
      <c r="D106" s="2" t="s">
        <v>39</v>
      </c>
      <c r="E106" s="2" t="s">
        <v>705</v>
      </c>
      <c r="F106" s="2" t="s">
        <v>703</v>
      </c>
      <c r="G106" s="2" t="s">
        <v>257</v>
      </c>
      <c r="H106" s="2" t="n">
        <v>1.682</v>
      </c>
      <c r="I106" s="2" t="n">
        <v>1950</v>
      </c>
      <c r="J106" s="2" t="n">
        <v>1.438</v>
      </c>
      <c r="K106" s="2" t="n">
        <v>0.1495</v>
      </c>
      <c r="L106" s="2" t="n">
        <v>2106</v>
      </c>
      <c r="M106" s="2" t="n">
        <v>30</v>
      </c>
      <c r="N106" s="2" t="n">
        <v>64</v>
      </c>
      <c r="O106" s="2" t="n">
        <v>32</v>
      </c>
      <c r="P106" s="2" t="s">
        <v>704</v>
      </c>
      <c r="Q106" s="2" t="s">
        <v>71</v>
      </c>
      <c r="R106" s="2" t="s">
        <v>700</v>
      </c>
      <c r="S106" s="2"/>
      <c r="T106" s="2"/>
      <c r="U106" s="2"/>
      <c r="V106" s="2" t="s">
        <v>71</v>
      </c>
    </row>
    <row r="107" customFormat="false" ht="15" hidden="false" customHeight="false" outlineLevel="0" collapsed="false">
      <c r="A107" s="2" t="s">
        <v>701</v>
      </c>
      <c r="B107" s="2" t="s">
        <v>278</v>
      </c>
      <c r="C107" s="2" t="s">
        <v>278</v>
      </c>
      <c r="D107" s="2" t="s">
        <v>39</v>
      </c>
      <c r="E107" s="2" t="s">
        <v>702</v>
      </c>
      <c r="F107" s="2" t="s">
        <v>703</v>
      </c>
      <c r="G107" s="2" t="s">
        <v>257</v>
      </c>
      <c r="H107" s="2" t="n">
        <v>1.74</v>
      </c>
      <c r="I107" s="2" t="n">
        <v>1950</v>
      </c>
      <c r="J107" s="2" t="n">
        <v>1.516</v>
      </c>
      <c r="K107" s="2" t="n">
        <v>0.2055</v>
      </c>
      <c r="L107" s="2" t="n">
        <v>2175</v>
      </c>
      <c r="M107" s="2" t="n">
        <v>70</v>
      </c>
      <c r="N107" s="2" t="n">
        <v>64</v>
      </c>
      <c r="O107" s="2" t="n">
        <v>32</v>
      </c>
      <c r="P107" s="2" t="s">
        <v>704</v>
      </c>
      <c r="Q107" s="2" t="s">
        <v>71</v>
      </c>
      <c r="R107" s="2" t="s">
        <v>700</v>
      </c>
      <c r="S107" s="2"/>
      <c r="T107" s="2"/>
      <c r="U107" s="2"/>
      <c r="V107" s="2" t="s">
        <v>71</v>
      </c>
    </row>
    <row r="108" customFormat="false" ht="15" hidden="false" customHeight="false" outlineLevel="0" collapsed="false">
      <c r="A108" s="2" t="s">
        <v>701</v>
      </c>
      <c r="B108" s="2" t="s">
        <v>280</v>
      </c>
      <c r="C108" s="2" t="s">
        <v>280</v>
      </c>
      <c r="D108" s="2" t="s">
        <v>39</v>
      </c>
      <c r="E108" s="2" t="s">
        <v>702</v>
      </c>
      <c r="F108" s="2" t="s">
        <v>703</v>
      </c>
      <c r="G108" s="2" t="s">
        <v>257</v>
      </c>
      <c r="H108" s="2" t="n">
        <v>1.78</v>
      </c>
      <c r="I108" s="2" t="n">
        <v>1950</v>
      </c>
      <c r="J108" s="2" t="n">
        <v>1.671</v>
      </c>
      <c r="K108" s="2" t="n">
        <v>0.226</v>
      </c>
      <c r="L108" s="2" t="n">
        <v>2310</v>
      </c>
      <c r="M108" s="2" t="n">
        <v>70</v>
      </c>
      <c r="N108" s="2" t="n">
        <v>64</v>
      </c>
      <c r="O108" s="2" t="n">
        <v>32</v>
      </c>
      <c r="P108" s="2" t="s">
        <v>704</v>
      </c>
      <c r="Q108" s="2" t="s">
        <v>43</v>
      </c>
      <c r="R108" s="2" t="s">
        <v>700</v>
      </c>
      <c r="S108" s="2"/>
      <c r="T108" s="2"/>
      <c r="U108" s="2"/>
      <c r="V108" s="2" t="s">
        <v>43</v>
      </c>
    </row>
    <row r="109" customFormat="false" ht="15" hidden="false" customHeight="false" outlineLevel="0" collapsed="false">
      <c r="A109" s="2" t="s">
        <v>701</v>
      </c>
      <c r="B109" s="2" t="s">
        <v>282</v>
      </c>
      <c r="C109" s="2" t="s">
        <v>282</v>
      </c>
      <c r="D109" s="2" t="s">
        <v>39</v>
      </c>
      <c r="E109" s="2" t="s">
        <v>702</v>
      </c>
      <c r="F109" s="2" t="s">
        <v>703</v>
      </c>
      <c r="G109" s="2" t="s">
        <v>257</v>
      </c>
      <c r="H109" s="2" t="n">
        <v>1.84</v>
      </c>
      <c r="I109" s="2" t="n">
        <v>1950</v>
      </c>
      <c r="J109" s="2" t="n">
        <v>1.641</v>
      </c>
      <c r="K109" s="2" t="n">
        <v>0.1975</v>
      </c>
      <c r="L109" s="2" t="n">
        <v>2284</v>
      </c>
      <c r="M109" s="2" t="n">
        <v>53</v>
      </c>
      <c r="N109" s="2" t="n">
        <v>64</v>
      </c>
      <c r="O109" s="2" t="n">
        <v>32</v>
      </c>
      <c r="P109" s="2" t="s">
        <v>704</v>
      </c>
      <c r="Q109" s="2" t="s">
        <v>71</v>
      </c>
      <c r="R109" s="2" t="s">
        <v>700</v>
      </c>
      <c r="S109" s="2"/>
      <c r="T109" s="2"/>
      <c r="U109" s="2"/>
      <c r="V109" s="2" t="s">
        <v>71</v>
      </c>
    </row>
    <row r="110" customFormat="false" ht="15" hidden="false" customHeight="false" outlineLevel="0" collapsed="false">
      <c r="A110" s="2" t="s">
        <v>701</v>
      </c>
      <c r="B110" s="2" t="s">
        <v>284</v>
      </c>
      <c r="C110" s="2" t="s">
        <v>284</v>
      </c>
      <c r="D110" s="2" t="s">
        <v>39</v>
      </c>
      <c r="E110" s="2" t="s">
        <v>702</v>
      </c>
      <c r="F110" s="2" t="s">
        <v>703</v>
      </c>
      <c r="G110" s="2" t="s">
        <v>257</v>
      </c>
      <c r="H110" s="2" t="n">
        <v>2.005</v>
      </c>
      <c r="I110" s="2" t="n">
        <v>1950</v>
      </c>
      <c r="J110" s="2" t="n">
        <v>1.781</v>
      </c>
      <c r="K110" s="2" t="n">
        <v>0.227</v>
      </c>
      <c r="L110" s="2" t="n">
        <v>2400</v>
      </c>
      <c r="M110" s="2" t="n">
        <v>70</v>
      </c>
      <c r="N110" s="2" t="n">
        <v>64</v>
      </c>
      <c r="O110" s="2" t="n">
        <v>32</v>
      </c>
      <c r="P110" s="2" t="s">
        <v>704</v>
      </c>
      <c r="Q110" s="2" t="s">
        <v>71</v>
      </c>
      <c r="R110" s="2" t="s">
        <v>700</v>
      </c>
      <c r="S110" s="2"/>
      <c r="T110" s="2"/>
      <c r="U110" s="2"/>
      <c r="V110" s="2" t="s">
        <v>71</v>
      </c>
    </row>
    <row r="111" customFormat="false" ht="15" hidden="false" customHeight="false" outlineLevel="0" collapsed="false">
      <c r="A111" s="2" t="s">
        <v>701</v>
      </c>
      <c r="B111" s="2" t="s">
        <v>284</v>
      </c>
      <c r="C111" s="2" t="s">
        <v>284</v>
      </c>
      <c r="D111" s="2" t="s">
        <v>39</v>
      </c>
      <c r="E111" s="2" t="s">
        <v>702</v>
      </c>
      <c r="F111" s="2" t="s">
        <v>703</v>
      </c>
      <c r="G111" s="2" t="s">
        <v>257</v>
      </c>
      <c r="H111" s="2" t="n">
        <v>2.005</v>
      </c>
      <c r="I111" s="2" t="n">
        <v>1950</v>
      </c>
      <c r="J111" s="2" t="n">
        <v>1.781</v>
      </c>
      <c r="K111" s="2" t="n">
        <v>0.227</v>
      </c>
      <c r="L111" s="2" t="n">
        <v>2400</v>
      </c>
      <c r="M111" s="2" t="n">
        <v>70</v>
      </c>
      <c r="N111" s="2" t="n">
        <v>64</v>
      </c>
      <c r="O111" s="2" t="n">
        <v>32</v>
      </c>
      <c r="P111" s="2" t="s">
        <v>704</v>
      </c>
      <c r="Q111" s="2" t="s">
        <v>43</v>
      </c>
      <c r="R111" s="2" t="s">
        <v>700</v>
      </c>
      <c r="S111" s="2"/>
      <c r="T111" s="2"/>
      <c r="U111" s="2"/>
      <c r="V111" s="2" t="s">
        <v>43</v>
      </c>
    </row>
    <row r="112" customFormat="false" ht="15" hidden="false" customHeight="false" outlineLevel="0" collapsed="false">
      <c r="A112" s="2" t="s">
        <v>701</v>
      </c>
      <c r="B112" s="2" t="s">
        <v>285</v>
      </c>
      <c r="C112" s="2" t="s">
        <v>285</v>
      </c>
      <c r="D112" s="2" t="s">
        <v>48</v>
      </c>
      <c r="E112" s="2" t="s">
        <v>702</v>
      </c>
      <c r="F112" s="2" t="s">
        <v>703</v>
      </c>
      <c r="G112" s="2" t="s">
        <v>257</v>
      </c>
      <c r="H112" s="2" t="n">
        <v>2.225</v>
      </c>
      <c r="I112" s="2" t="n">
        <v>1950</v>
      </c>
      <c r="J112" s="2" t="n">
        <v>2.217</v>
      </c>
      <c r="K112" s="2" t="n">
        <v>0.2295</v>
      </c>
      <c r="L112" s="2" t="n">
        <v>2755</v>
      </c>
      <c r="M112" s="2" t="n">
        <v>65</v>
      </c>
      <c r="N112" s="2" t="n">
        <v>64</v>
      </c>
      <c r="O112" s="2" t="n">
        <v>32</v>
      </c>
      <c r="P112" s="2" t="s">
        <v>704</v>
      </c>
      <c r="Q112" s="2" t="s">
        <v>71</v>
      </c>
      <c r="R112" s="2" t="s">
        <v>700</v>
      </c>
      <c r="S112" s="2"/>
      <c r="T112" s="2"/>
      <c r="U112" s="2"/>
      <c r="V112" s="2" t="s">
        <v>43</v>
      </c>
    </row>
    <row r="113" customFormat="false" ht="15" hidden="false" customHeight="false" outlineLevel="0" collapsed="false">
      <c r="A113" s="2" t="s">
        <v>701</v>
      </c>
      <c r="B113" s="2" t="s">
        <v>287</v>
      </c>
      <c r="C113" s="2" t="s">
        <v>287</v>
      </c>
      <c r="D113" s="2" t="s">
        <v>48</v>
      </c>
      <c r="E113" s="2" t="s">
        <v>702</v>
      </c>
      <c r="F113" s="2" t="s">
        <v>703</v>
      </c>
      <c r="G113" s="2" t="s">
        <v>257</v>
      </c>
      <c r="H113" s="2" t="n">
        <v>2.305</v>
      </c>
      <c r="I113" s="2" t="n">
        <v>1950</v>
      </c>
      <c r="J113" s="2" t="n">
        <v>2.054</v>
      </c>
      <c r="K113" s="2" t="n">
        <v>0.2485</v>
      </c>
      <c r="L113" s="2" t="n">
        <v>2620</v>
      </c>
      <c r="M113" s="2" t="n">
        <v>80</v>
      </c>
      <c r="N113" s="2" t="n">
        <v>64</v>
      </c>
      <c r="O113" s="2" t="n">
        <v>32</v>
      </c>
      <c r="P113" s="2" t="s">
        <v>704</v>
      </c>
      <c r="Q113" s="2" t="s">
        <v>71</v>
      </c>
      <c r="R113" s="2" t="s">
        <v>700</v>
      </c>
      <c r="S113" s="2"/>
      <c r="T113" s="2"/>
      <c r="U113" s="2"/>
      <c r="V113" s="2" t="s">
        <v>43</v>
      </c>
    </row>
    <row r="114" customFormat="false" ht="15" hidden="false" customHeight="false" outlineLevel="0" collapsed="false">
      <c r="A114" s="2" t="s">
        <v>701</v>
      </c>
      <c r="B114" s="2" t="s">
        <v>288</v>
      </c>
      <c r="C114" s="2" t="s">
        <v>288</v>
      </c>
      <c r="D114" s="2" t="s">
        <v>48</v>
      </c>
      <c r="E114" s="2" t="s">
        <v>702</v>
      </c>
      <c r="F114" s="2" t="s">
        <v>703</v>
      </c>
      <c r="G114" s="2" t="s">
        <v>257</v>
      </c>
      <c r="H114" s="2" t="n">
        <v>2.725</v>
      </c>
      <c r="I114" s="2" t="n">
        <v>1950</v>
      </c>
      <c r="J114" s="2" t="n">
        <v>2.475</v>
      </c>
      <c r="K114" s="2" t="n">
        <v>0.23</v>
      </c>
      <c r="L114" s="2" t="n">
        <v>2950</v>
      </c>
      <c r="M114" s="2" t="n">
        <v>70</v>
      </c>
      <c r="N114" s="2" t="n">
        <v>64</v>
      </c>
      <c r="O114" s="2" t="n">
        <v>32</v>
      </c>
      <c r="P114" s="2" t="s">
        <v>704</v>
      </c>
      <c r="Q114" s="2" t="s">
        <v>71</v>
      </c>
      <c r="R114" s="2" t="s">
        <v>700</v>
      </c>
      <c r="S114" s="2"/>
      <c r="T114" s="2"/>
      <c r="U114" s="2"/>
      <c r="V114" s="2" t="s">
        <v>43</v>
      </c>
    </row>
    <row r="115" customFormat="false" ht="15" hidden="false" customHeight="false" outlineLevel="0" collapsed="false">
      <c r="A115" s="2" t="s">
        <v>701</v>
      </c>
      <c r="B115" s="2" t="s">
        <v>289</v>
      </c>
      <c r="C115" s="2" t="s">
        <v>289</v>
      </c>
      <c r="D115" s="2" t="s">
        <v>48</v>
      </c>
      <c r="E115" s="2" t="s">
        <v>702</v>
      </c>
      <c r="F115" s="2" t="s">
        <v>703</v>
      </c>
      <c r="G115" s="2" t="s">
        <v>257</v>
      </c>
      <c r="H115" s="2" t="n">
        <v>2.84</v>
      </c>
      <c r="I115" s="2" t="n">
        <v>1950</v>
      </c>
      <c r="J115" s="2" t="n">
        <v>2.632</v>
      </c>
      <c r="K115" s="2" t="n">
        <v>0.2295</v>
      </c>
      <c r="L115" s="2" t="n">
        <v>3090</v>
      </c>
      <c r="M115" s="2" t="n">
        <v>70</v>
      </c>
      <c r="N115" s="2" t="n">
        <v>64</v>
      </c>
      <c r="O115" s="2" t="n">
        <v>32</v>
      </c>
      <c r="P115" s="2" t="s">
        <v>704</v>
      </c>
      <c r="Q115" s="2" t="s">
        <v>71</v>
      </c>
      <c r="R115" s="2" t="s">
        <v>700</v>
      </c>
      <c r="S115" s="2"/>
      <c r="T115" s="2"/>
      <c r="U115" s="2"/>
      <c r="V115" s="2" t="s">
        <v>43</v>
      </c>
    </row>
    <row r="116" customFormat="false" ht="15" hidden="false" customHeight="false" outlineLevel="0" collapsed="false">
      <c r="A116" s="2" t="s">
        <v>701</v>
      </c>
      <c r="B116" s="2" t="s">
        <v>290</v>
      </c>
      <c r="C116" s="2" t="s">
        <v>290</v>
      </c>
      <c r="D116" s="2" t="s">
        <v>48</v>
      </c>
      <c r="E116" s="2" t="s">
        <v>705</v>
      </c>
      <c r="F116" s="2" t="s">
        <v>703</v>
      </c>
      <c r="G116" s="2" t="s">
        <v>257</v>
      </c>
      <c r="H116" s="2" t="n">
        <v>2.92</v>
      </c>
      <c r="I116" s="2" t="n">
        <v>1950</v>
      </c>
      <c r="J116" s="2" t="n">
        <v>2.697</v>
      </c>
      <c r="K116" s="2" t="n">
        <v>0.237</v>
      </c>
      <c r="L116" s="2" t="n">
        <v>3139</v>
      </c>
      <c r="M116" s="2" t="n">
        <v>70</v>
      </c>
      <c r="N116" s="2" t="n">
        <v>64</v>
      </c>
      <c r="O116" s="2" t="n">
        <v>32</v>
      </c>
      <c r="P116" s="2" t="s">
        <v>704</v>
      </c>
      <c r="Q116" s="2" t="s">
        <v>71</v>
      </c>
      <c r="R116" s="2" t="s">
        <v>700</v>
      </c>
      <c r="S116" s="2"/>
      <c r="T116" s="2"/>
      <c r="U116" s="2"/>
      <c r="V116" s="2" t="s">
        <v>43</v>
      </c>
    </row>
    <row r="117" customFormat="false" ht="15" hidden="false" customHeight="false" outlineLevel="0" collapsed="false">
      <c r="A117" s="2" t="s">
        <v>701</v>
      </c>
      <c r="B117" s="2" t="s">
        <v>294</v>
      </c>
      <c r="C117" s="2" t="s">
        <v>294</v>
      </c>
      <c r="D117" s="2" t="s">
        <v>39</v>
      </c>
      <c r="E117" s="2" t="s">
        <v>702</v>
      </c>
      <c r="F117" s="2" t="s">
        <v>703</v>
      </c>
      <c r="G117" s="2" t="s">
        <v>257</v>
      </c>
      <c r="H117" s="2" t="n">
        <v>3.32</v>
      </c>
      <c r="I117" s="2" t="n">
        <v>1950</v>
      </c>
      <c r="J117" s="2" t="n">
        <v>3.056</v>
      </c>
      <c r="K117" s="2" t="n">
        <v>0.2395</v>
      </c>
      <c r="L117" s="2" t="n">
        <v>3440</v>
      </c>
      <c r="M117" s="2" t="n">
        <v>70</v>
      </c>
      <c r="N117" s="2" t="n">
        <v>64</v>
      </c>
      <c r="O117" s="2" t="n">
        <v>32</v>
      </c>
      <c r="P117" s="2" t="s">
        <v>704</v>
      </c>
      <c r="Q117" s="2" t="s">
        <v>71</v>
      </c>
      <c r="R117" s="2" t="s">
        <v>700</v>
      </c>
      <c r="S117" s="2"/>
      <c r="T117" s="2"/>
      <c r="U117" s="2"/>
      <c r="V117" s="2" t="s">
        <v>71</v>
      </c>
    </row>
    <row r="118" customFormat="false" ht="15" hidden="false" customHeight="false" outlineLevel="0" collapsed="false">
      <c r="A118" s="2" t="s">
        <v>701</v>
      </c>
      <c r="B118" s="2" t="s">
        <v>295</v>
      </c>
      <c r="C118" s="2" t="s">
        <v>295</v>
      </c>
      <c r="D118" s="2" t="s">
        <v>48</v>
      </c>
      <c r="E118" s="2" t="s">
        <v>702</v>
      </c>
      <c r="F118" s="2" t="s">
        <v>703</v>
      </c>
      <c r="G118" s="2" t="s">
        <v>257</v>
      </c>
      <c r="H118" s="2" t="n">
        <v>3.365</v>
      </c>
      <c r="I118" s="2" t="n">
        <v>1950</v>
      </c>
      <c r="J118" s="2" t="n">
        <v>3.132</v>
      </c>
      <c r="K118" s="2" t="n">
        <v>0.2185</v>
      </c>
      <c r="L118" s="2" t="n">
        <v>3500</v>
      </c>
      <c r="M118" s="2" t="n">
        <v>60</v>
      </c>
      <c r="N118" s="2" t="n">
        <v>64</v>
      </c>
      <c r="O118" s="2" t="n">
        <v>32</v>
      </c>
      <c r="P118" s="2" t="s">
        <v>704</v>
      </c>
      <c r="Q118" s="2" t="s">
        <v>71</v>
      </c>
      <c r="R118" s="2" t="s">
        <v>700</v>
      </c>
      <c r="S118" s="2"/>
      <c r="T118" s="2"/>
      <c r="U118" s="2"/>
      <c r="V118" s="2" t="s">
        <v>43</v>
      </c>
    </row>
    <row r="119" customFormat="false" ht="15" hidden="false" customHeight="false" outlineLevel="0" collapsed="false">
      <c r="A119" s="2" t="s">
        <v>701</v>
      </c>
      <c r="B119" s="2" t="s">
        <v>297</v>
      </c>
      <c r="C119" s="2" t="s">
        <v>297</v>
      </c>
      <c r="D119" s="2" t="s">
        <v>39</v>
      </c>
      <c r="E119" s="2" t="s">
        <v>702</v>
      </c>
      <c r="F119" s="2" t="s">
        <v>703</v>
      </c>
      <c r="G119" s="2" t="s">
        <v>257</v>
      </c>
      <c r="H119" s="2" t="n">
        <v>3.39</v>
      </c>
      <c r="I119" s="2" t="n">
        <v>1950</v>
      </c>
      <c r="J119" s="2" t="n">
        <v>3.757</v>
      </c>
      <c r="K119" s="2" t="n">
        <v>0.2675</v>
      </c>
      <c r="L119" s="2" t="n">
        <v>4010</v>
      </c>
      <c r="M119" s="2" t="n">
        <v>80</v>
      </c>
      <c r="N119" s="2" t="n">
        <v>64</v>
      </c>
      <c r="O119" s="2" t="n">
        <v>32</v>
      </c>
      <c r="P119" s="2" t="s">
        <v>704</v>
      </c>
      <c r="Q119" s="2" t="s">
        <v>71</v>
      </c>
      <c r="R119" s="2" t="s">
        <v>700</v>
      </c>
      <c r="S119" s="2"/>
      <c r="T119" s="2"/>
      <c r="U119" s="2"/>
      <c r="V119" s="2" t="s">
        <v>71</v>
      </c>
    </row>
    <row r="120" customFormat="false" ht="15" hidden="false" customHeight="false" outlineLevel="0" collapsed="false">
      <c r="A120" s="2" t="s">
        <v>701</v>
      </c>
      <c r="B120" s="2" t="s">
        <v>299</v>
      </c>
      <c r="C120" s="2" t="s">
        <v>299</v>
      </c>
      <c r="D120" s="2" t="s">
        <v>48</v>
      </c>
      <c r="E120" s="2" t="s">
        <v>705</v>
      </c>
      <c r="F120" s="2" t="s">
        <v>703</v>
      </c>
      <c r="G120" s="2" t="s">
        <v>257</v>
      </c>
      <c r="H120" s="2" t="n">
        <v>3.84</v>
      </c>
      <c r="I120" s="2" t="n">
        <v>1950</v>
      </c>
      <c r="J120" s="2" t="n">
        <v>3.591</v>
      </c>
      <c r="K120" s="2" t="n">
        <v>0.202</v>
      </c>
      <c r="L120" s="2" t="n">
        <v>3880</v>
      </c>
      <c r="M120" s="2" t="n">
        <v>50</v>
      </c>
      <c r="N120" s="2" t="n">
        <v>64</v>
      </c>
      <c r="O120" s="2" t="n">
        <v>32</v>
      </c>
      <c r="P120" s="2" t="s">
        <v>704</v>
      </c>
      <c r="Q120" s="2" t="s">
        <v>71</v>
      </c>
      <c r="R120" s="2" t="s">
        <v>700</v>
      </c>
      <c r="S120" s="2"/>
      <c r="T120" s="2"/>
      <c r="U120" s="2"/>
      <c r="V120" s="2" t="s">
        <v>43</v>
      </c>
    </row>
    <row r="121" customFormat="false" ht="15" hidden="false" customHeight="false" outlineLevel="0" collapsed="false">
      <c r="A121" s="2" t="s">
        <v>701</v>
      </c>
      <c r="B121" s="2" t="s">
        <v>301</v>
      </c>
      <c r="C121" s="2" t="s">
        <v>301</v>
      </c>
      <c r="D121" s="2" t="s">
        <v>48</v>
      </c>
      <c r="E121" s="2" t="s">
        <v>702</v>
      </c>
      <c r="F121" s="2" t="s">
        <v>703</v>
      </c>
      <c r="G121" s="2" t="s">
        <v>257</v>
      </c>
      <c r="H121" s="2" t="n">
        <v>4.21</v>
      </c>
      <c r="I121" s="2" t="n">
        <v>1950</v>
      </c>
      <c r="J121" s="2" t="n">
        <v>3.944</v>
      </c>
      <c r="K121" s="2" t="n">
        <v>0.272</v>
      </c>
      <c r="L121" s="2" t="n">
        <v>4150</v>
      </c>
      <c r="M121" s="2" t="n">
        <v>80</v>
      </c>
      <c r="N121" s="2" t="n">
        <v>64</v>
      </c>
      <c r="O121" s="2" t="n">
        <v>32</v>
      </c>
      <c r="P121" s="2" t="s">
        <v>704</v>
      </c>
      <c r="Q121" s="2" t="s">
        <v>71</v>
      </c>
      <c r="R121" s="2" t="s">
        <v>700</v>
      </c>
      <c r="S121" s="2"/>
      <c r="T121" s="2"/>
      <c r="U121" s="2"/>
      <c r="V121" s="2" t="s">
        <v>43</v>
      </c>
    </row>
    <row r="122" customFormat="false" ht="15" hidden="false" customHeight="false" outlineLevel="0" collapsed="false">
      <c r="A122" s="2" t="s">
        <v>701</v>
      </c>
      <c r="B122" s="2" t="s">
        <v>303</v>
      </c>
      <c r="C122" s="2" t="s">
        <v>303</v>
      </c>
      <c r="D122" s="2" t="s">
        <v>48</v>
      </c>
      <c r="E122" s="2" t="s">
        <v>702</v>
      </c>
      <c r="F122" s="2" t="s">
        <v>703</v>
      </c>
      <c r="G122" s="2" t="s">
        <v>257</v>
      </c>
      <c r="H122" s="2" t="n">
        <v>4.305</v>
      </c>
      <c r="I122" s="2" t="n">
        <v>1950</v>
      </c>
      <c r="J122" s="2" t="n">
        <v>4.037</v>
      </c>
      <c r="K122" s="2" t="n">
        <v>0.3525</v>
      </c>
      <c r="L122" s="2" t="n">
        <v>4220</v>
      </c>
      <c r="M122" s="2" t="n">
        <v>120</v>
      </c>
      <c r="N122" s="2" t="n">
        <v>64</v>
      </c>
      <c r="O122" s="2" t="n">
        <v>32</v>
      </c>
      <c r="P122" s="2" t="s">
        <v>704</v>
      </c>
      <c r="Q122" s="2" t="s">
        <v>71</v>
      </c>
      <c r="R122" s="2" t="s">
        <v>700</v>
      </c>
      <c r="S122" s="2"/>
      <c r="T122" s="2"/>
      <c r="U122" s="2"/>
      <c r="V122" s="2" t="s">
        <v>43</v>
      </c>
    </row>
    <row r="123" customFormat="false" ht="15" hidden="false" customHeight="false" outlineLevel="0" collapsed="false">
      <c r="A123" s="2" t="s">
        <v>701</v>
      </c>
      <c r="B123" s="2" t="s">
        <v>304</v>
      </c>
      <c r="C123" s="2" t="s">
        <v>304</v>
      </c>
      <c r="D123" s="2" t="s">
        <v>48</v>
      </c>
      <c r="E123" s="2" t="s">
        <v>702</v>
      </c>
      <c r="F123" s="2" t="s">
        <v>703</v>
      </c>
      <c r="G123" s="2" t="s">
        <v>257</v>
      </c>
      <c r="H123" s="2" t="n">
        <v>4.495</v>
      </c>
      <c r="I123" s="2" t="n">
        <v>1950</v>
      </c>
      <c r="J123" s="2" t="n">
        <v>4.235</v>
      </c>
      <c r="K123" s="2" t="n">
        <v>0.289</v>
      </c>
      <c r="L123" s="2" t="n">
        <v>4370</v>
      </c>
      <c r="M123" s="2" t="n">
        <v>90</v>
      </c>
      <c r="N123" s="2" t="n">
        <v>64</v>
      </c>
      <c r="O123" s="2" t="n">
        <v>32</v>
      </c>
      <c r="P123" s="2" t="s">
        <v>704</v>
      </c>
      <c r="Q123" s="2" t="s">
        <v>71</v>
      </c>
      <c r="R123" s="2" t="s">
        <v>700</v>
      </c>
      <c r="S123" s="2"/>
      <c r="T123" s="2"/>
      <c r="U123" s="2"/>
      <c r="V123" s="2" t="s">
        <v>43</v>
      </c>
    </row>
    <row r="124" customFormat="false" ht="15" hidden="false" customHeight="false" outlineLevel="0" collapsed="false">
      <c r="A124" s="2" t="s">
        <v>701</v>
      </c>
      <c r="B124" s="2" t="s">
        <v>306</v>
      </c>
      <c r="C124" s="2" t="s">
        <v>306</v>
      </c>
      <c r="D124" s="2" t="s">
        <v>39</v>
      </c>
      <c r="E124" s="2" t="s">
        <v>702</v>
      </c>
      <c r="F124" s="2" t="s">
        <v>703</v>
      </c>
      <c r="G124" s="2" t="s">
        <v>257</v>
      </c>
      <c r="H124" s="2" t="n">
        <v>4.57</v>
      </c>
      <c r="I124" s="2" t="n">
        <v>1950</v>
      </c>
      <c r="J124" s="2" t="n">
        <v>4.326</v>
      </c>
      <c r="K124" s="2" t="n">
        <v>0.322</v>
      </c>
      <c r="L124" s="2" t="n">
        <v>4440</v>
      </c>
      <c r="M124" s="2" t="n">
        <v>100</v>
      </c>
      <c r="N124" s="2" t="n">
        <v>64</v>
      </c>
      <c r="O124" s="2" t="n">
        <v>32</v>
      </c>
      <c r="P124" s="2" t="s">
        <v>704</v>
      </c>
      <c r="Q124" s="2" t="s">
        <v>71</v>
      </c>
      <c r="R124" s="2" t="s">
        <v>700</v>
      </c>
      <c r="S124" s="2"/>
      <c r="T124" s="2"/>
      <c r="U124" s="2"/>
      <c r="V124" s="2" t="s">
        <v>71</v>
      </c>
    </row>
    <row r="125" customFormat="false" ht="15" hidden="false" customHeight="false" outlineLevel="0" collapsed="false">
      <c r="A125" s="2" t="s">
        <v>701</v>
      </c>
      <c r="B125" s="2" t="s">
        <v>307</v>
      </c>
      <c r="C125" s="2" t="s">
        <v>307</v>
      </c>
      <c r="D125" s="2" t="s">
        <v>39</v>
      </c>
      <c r="E125" s="2" t="s">
        <v>705</v>
      </c>
      <c r="F125" s="2" t="s">
        <v>703</v>
      </c>
      <c r="G125" s="2" t="s">
        <v>257</v>
      </c>
      <c r="H125" s="2" t="n">
        <v>4.795</v>
      </c>
      <c r="I125" s="2" t="n">
        <v>1950</v>
      </c>
      <c r="J125" s="2" t="n">
        <v>4.513</v>
      </c>
      <c r="K125" s="2" t="n">
        <v>0.216</v>
      </c>
      <c r="L125" s="2" t="n">
        <v>4579</v>
      </c>
      <c r="M125" s="2" t="n">
        <v>40</v>
      </c>
      <c r="N125" s="2" t="n">
        <v>64</v>
      </c>
      <c r="O125" s="2" t="n">
        <v>32</v>
      </c>
      <c r="P125" s="2" t="s">
        <v>704</v>
      </c>
      <c r="Q125" s="2" t="s">
        <v>71</v>
      </c>
      <c r="R125" s="2" t="s">
        <v>700</v>
      </c>
      <c r="S125" s="2"/>
      <c r="T125" s="2"/>
      <c r="U125" s="2"/>
      <c r="V125" s="2" t="s">
        <v>71</v>
      </c>
    </row>
    <row r="126" customFormat="false" ht="15" hidden="false" customHeight="false" outlineLevel="0" collapsed="false">
      <c r="A126" s="2" t="s">
        <v>701</v>
      </c>
      <c r="B126" s="2" t="s">
        <v>309</v>
      </c>
      <c r="C126" s="2" t="s">
        <v>309</v>
      </c>
      <c r="D126" s="2" t="s">
        <v>48</v>
      </c>
      <c r="E126" s="2" t="s">
        <v>705</v>
      </c>
      <c r="F126" s="2" t="s">
        <v>703</v>
      </c>
      <c r="G126" s="2" t="s">
        <v>257</v>
      </c>
      <c r="H126" s="2" t="n">
        <v>4.86</v>
      </c>
      <c r="I126" s="2" t="n">
        <v>1950</v>
      </c>
      <c r="J126" s="2" t="n">
        <v>4.587</v>
      </c>
      <c r="K126" s="2" t="n">
        <v>0.2915</v>
      </c>
      <c r="L126" s="2" t="n">
        <v>4637</v>
      </c>
      <c r="M126" s="2" t="n">
        <v>100</v>
      </c>
      <c r="N126" s="2" t="n">
        <v>64</v>
      </c>
      <c r="O126" s="2" t="n">
        <v>32</v>
      </c>
      <c r="P126" s="2" t="s">
        <v>704</v>
      </c>
      <c r="Q126" s="2" t="s">
        <v>71</v>
      </c>
      <c r="R126" s="2" t="s">
        <v>700</v>
      </c>
      <c r="S126" s="2"/>
      <c r="T126" s="2"/>
      <c r="U126" s="2"/>
      <c r="V126" s="2" t="s">
        <v>43</v>
      </c>
    </row>
    <row r="127" customFormat="false" ht="15" hidden="false" customHeight="false" outlineLevel="0" collapsed="false">
      <c r="A127" s="2" t="s">
        <v>701</v>
      </c>
      <c r="B127" s="2" t="s">
        <v>312</v>
      </c>
      <c r="C127" s="2" t="s">
        <v>312</v>
      </c>
      <c r="D127" s="2" t="s">
        <v>39</v>
      </c>
      <c r="E127" s="2" t="s">
        <v>705</v>
      </c>
      <c r="F127" s="2" t="s">
        <v>703</v>
      </c>
      <c r="G127" s="2" t="s">
        <v>257</v>
      </c>
      <c r="H127" s="2" t="n">
        <v>5.035</v>
      </c>
      <c r="I127" s="2" t="n">
        <v>1950</v>
      </c>
      <c r="J127" s="2" t="n">
        <v>4.746</v>
      </c>
      <c r="K127" s="2" t="n">
        <v>0.268</v>
      </c>
      <c r="L127" s="2" t="n">
        <v>4771</v>
      </c>
      <c r="M127" s="2" t="n">
        <v>80</v>
      </c>
      <c r="N127" s="2" t="n">
        <v>64</v>
      </c>
      <c r="O127" s="2" t="n">
        <v>32</v>
      </c>
      <c r="P127" s="2" t="s">
        <v>704</v>
      </c>
      <c r="Q127" s="2" t="s">
        <v>71</v>
      </c>
      <c r="R127" s="2" t="s">
        <v>700</v>
      </c>
      <c r="S127" s="2"/>
      <c r="T127" s="2"/>
      <c r="U127" s="2"/>
      <c r="V127" s="2" t="s">
        <v>71</v>
      </c>
    </row>
    <row r="128" customFormat="false" ht="15" hidden="false" customHeight="false" outlineLevel="0" collapsed="false">
      <c r="A128" s="2" t="s">
        <v>701</v>
      </c>
      <c r="B128" s="2" t="s">
        <v>314</v>
      </c>
      <c r="C128" s="2" t="s">
        <v>314</v>
      </c>
      <c r="D128" s="2" t="s">
        <v>39</v>
      </c>
      <c r="E128" s="2" t="s">
        <v>702</v>
      </c>
      <c r="F128" s="2" t="s">
        <v>703</v>
      </c>
      <c r="G128" s="2" t="s">
        <v>257</v>
      </c>
      <c r="H128" s="2" t="n">
        <v>5.19</v>
      </c>
      <c r="I128" s="2" t="n">
        <v>1950</v>
      </c>
      <c r="J128" s="2" t="n">
        <v>4.87</v>
      </c>
      <c r="K128" s="2" t="n">
        <v>0.2705</v>
      </c>
      <c r="L128" s="2" t="n">
        <v>4860</v>
      </c>
      <c r="M128" s="2" t="n">
        <v>70</v>
      </c>
      <c r="N128" s="2" t="n">
        <v>64</v>
      </c>
      <c r="O128" s="2" t="n">
        <v>32</v>
      </c>
      <c r="P128" s="2" t="s">
        <v>704</v>
      </c>
      <c r="Q128" s="2" t="s">
        <v>71</v>
      </c>
      <c r="R128" s="2" t="s">
        <v>700</v>
      </c>
      <c r="S128" s="2"/>
      <c r="T128" s="2"/>
      <c r="U128" s="2"/>
      <c r="V128" s="2" t="s">
        <v>71</v>
      </c>
    </row>
    <row r="129" customFormat="false" ht="15" hidden="false" customHeight="false" outlineLevel="0" collapsed="false">
      <c r="A129" s="2" t="s">
        <v>701</v>
      </c>
      <c r="B129" s="2" t="s">
        <v>315</v>
      </c>
      <c r="C129" s="2" t="s">
        <v>315</v>
      </c>
      <c r="D129" s="2" t="s">
        <v>39</v>
      </c>
      <c r="E129" s="2" t="s">
        <v>702</v>
      </c>
      <c r="F129" s="2" t="s">
        <v>703</v>
      </c>
      <c r="G129" s="2" t="s">
        <v>257</v>
      </c>
      <c r="H129" s="2" t="n">
        <v>5.27</v>
      </c>
      <c r="I129" s="2" t="n">
        <v>1950</v>
      </c>
      <c r="J129" s="2" t="n">
        <v>4.961</v>
      </c>
      <c r="K129" s="2" t="n">
        <v>0.271</v>
      </c>
      <c r="L129" s="2" t="n">
        <v>4930</v>
      </c>
      <c r="M129" s="2" t="n">
        <v>80</v>
      </c>
      <c r="N129" s="2" t="n">
        <v>64</v>
      </c>
      <c r="O129" s="2" t="n">
        <v>32</v>
      </c>
      <c r="P129" s="2" t="s">
        <v>704</v>
      </c>
      <c r="Q129" s="2" t="s">
        <v>71</v>
      </c>
      <c r="R129" s="2" t="s">
        <v>700</v>
      </c>
      <c r="S129" s="2"/>
      <c r="T129" s="2"/>
      <c r="U129" s="2"/>
      <c r="V129" s="2" t="s">
        <v>71</v>
      </c>
    </row>
    <row r="130" customFormat="false" ht="15" hidden="false" customHeight="false" outlineLevel="0" collapsed="false">
      <c r="A130" s="2" t="s">
        <v>701</v>
      </c>
      <c r="B130" s="2" t="s">
        <v>316</v>
      </c>
      <c r="C130" s="2" t="s">
        <v>316</v>
      </c>
      <c r="D130" s="2" t="s">
        <v>48</v>
      </c>
      <c r="E130" s="2" t="s">
        <v>705</v>
      </c>
      <c r="F130" s="2" t="s">
        <v>703</v>
      </c>
      <c r="G130" s="2" t="s">
        <v>257</v>
      </c>
      <c r="H130" s="2" t="n">
        <v>5.54</v>
      </c>
      <c r="I130" s="2" t="n">
        <v>1950</v>
      </c>
      <c r="J130" s="2" t="n">
        <v>5.273</v>
      </c>
      <c r="K130" s="2" t="n">
        <v>0.236</v>
      </c>
      <c r="L130" s="2" t="n">
        <v>5183</v>
      </c>
      <c r="M130" s="2" t="n">
        <v>65</v>
      </c>
      <c r="N130" s="2" t="n">
        <v>64</v>
      </c>
      <c r="O130" s="2" t="n">
        <v>32</v>
      </c>
      <c r="P130" s="2" t="s">
        <v>704</v>
      </c>
      <c r="Q130" s="2" t="s">
        <v>71</v>
      </c>
      <c r="R130" s="2" t="s">
        <v>700</v>
      </c>
      <c r="S130" s="2"/>
      <c r="T130" s="2"/>
      <c r="U130" s="2"/>
      <c r="V130" s="2" t="s">
        <v>43</v>
      </c>
    </row>
    <row r="131" customFormat="false" ht="15" hidden="false" customHeight="false" outlineLevel="0" collapsed="false">
      <c r="A131" s="2" t="s">
        <v>701</v>
      </c>
      <c r="B131" s="2" t="s">
        <v>318</v>
      </c>
      <c r="C131" s="2" t="s">
        <v>318</v>
      </c>
      <c r="D131" s="2" t="s">
        <v>48</v>
      </c>
      <c r="E131" s="2" t="s">
        <v>702</v>
      </c>
      <c r="F131" s="2" t="s">
        <v>703</v>
      </c>
      <c r="G131" s="2" t="s">
        <v>257</v>
      </c>
      <c r="H131" s="2" t="n">
        <v>5.665</v>
      </c>
      <c r="I131" s="2" t="n">
        <v>1950</v>
      </c>
      <c r="J131" s="2" t="n">
        <v>5.425</v>
      </c>
      <c r="K131" s="2" t="n">
        <v>0.209</v>
      </c>
      <c r="L131" s="2" t="n">
        <v>5320</v>
      </c>
      <c r="M131" s="2" t="n">
        <v>70</v>
      </c>
      <c r="N131" s="2" t="n">
        <v>64</v>
      </c>
      <c r="O131" s="2" t="n">
        <v>32</v>
      </c>
      <c r="P131" s="2" t="s">
        <v>704</v>
      </c>
      <c r="Q131" s="2" t="s">
        <v>71</v>
      </c>
      <c r="R131" s="2" t="s">
        <v>700</v>
      </c>
      <c r="S131" s="2"/>
      <c r="T131" s="2"/>
      <c r="U131" s="2"/>
      <c r="V131" s="2" t="s">
        <v>43</v>
      </c>
    </row>
    <row r="132" customFormat="false" ht="15" hidden="false" customHeight="false" outlineLevel="0" collapsed="false">
      <c r="A132" s="2" t="s">
        <v>701</v>
      </c>
      <c r="B132" s="2" t="s">
        <v>320</v>
      </c>
      <c r="C132" s="2" t="s">
        <v>320</v>
      </c>
      <c r="D132" s="2" t="s">
        <v>48</v>
      </c>
      <c r="E132" s="2" t="s">
        <v>705</v>
      </c>
      <c r="F132" s="2" t="s">
        <v>703</v>
      </c>
      <c r="G132" s="2" t="s">
        <v>257</v>
      </c>
      <c r="H132" s="2" t="n">
        <v>5.77</v>
      </c>
      <c r="I132" s="2" t="n">
        <v>1950</v>
      </c>
      <c r="J132" s="2" t="n">
        <v>5.507</v>
      </c>
      <c r="K132" s="2" t="n">
        <v>0.1895</v>
      </c>
      <c r="L132" s="2" t="n">
        <v>5399</v>
      </c>
      <c r="M132" s="2" t="n">
        <v>55</v>
      </c>
      <c r="N132" s="2" t="n">
        <v>64</v>
      </c>
      <c r="O132" s="2" t="n">
        <v>32</v>
      </c>
      <c r="P132" s="2" t="s">
        <v>704</v>
      </c>
      <c r="Q132" s="2" t="s">
        <v>71</v>
      </c>
      <c r="R132" s="2" t="s">
        <v>700</v>
      </c>
      <c r="S132" s="2"/>
      <c r="T132" s="2"/>
      <c r="U132" s="2"/>
      <c r="V132" s="2" t="s">
        <v>43</v>
      </c>
    </row>
    <row r="133" customFormat="false" ht="15" hidden="false" customHeight="false" outlineLevel="0" collapsed="false">
      <c r="A133" s="2" t="s">
        <v>701</v>
      </c>
      <c r="B133" s="2" t="s">
        <v>322</v>
      </c>
      <c r="C133" s="2" t="s">
        <v>322</v>
      </c>
      <c r="D133" s="2" t="s">
        <v>48</v>
      </c>
      <c r="E133" s="2" t="s">
        <v>705</v>
      </c>
      <c r="F133" s="2" t="s">
        <v>703</v>
      </c>
      <c r="G133" s="2" t="s">
        <v>257</v>
      </c>
      <c r="H133" s="2" t="n">
        <v>5.865</v>
      </c>
      <c r="I133" s="2" t="n">
        <v>1950</v>
      </c>
      <c r="J133" s="2" t="n">
        <v>5.61</v>
      </c>
      <c r="K133" s="2" t="n">
        <v>0.2025</v>
      </c>
      <c r="L133" s="2" t="n">
        <v>5493</v>
      </c>
      <c r="M133" s="2" t="n">
        <v>55</v>
      </c>
      <c r="N133" s="2" t="n">
        <v>64</v>
      </c>
      <c r="O133" s="2" t="n">
        <v>32</v>
      </c>
      <c r="P133" s="2" t="s">
        <v>704</v>
      </c>
      <c r="Q133" s="2" t="s">
        <v>71</v>
      </c>
      <c r="R133" s="2" t="s">
        <v>700</v>
      </c>
      <c r="S133" s="2"/>
      <c r="T133" s="2"/>
      <c r="U133" s="2"/>
      <c r="V133" s="2" t="s">
        <v>43</v>
      </c>
    </row>
    <row r="134" customFormat="false" ht="15" hidden="false" customHeight="false" outlineLevel="0" collapsed="false">
      <c r="A134" s="2" t="s">
        <v>701</v>
      </c>
      <c r="B134" s="2" t="s">
        <v>324</v>
      </c>
      <c r="C134" s="2" t="s">
        <v>324</v>
      </c>
      <c r="D134" s="2" t="s">
        <v>39</v>
      </c>
      <c r="E134" s="2" t="s">
        <v>705</v>
      </c>
      <c r="F134" s="2" t="s">
        <v>703</v>
      </c>
      <c r="G134" s="2" t="s">
        <v>257</v>
      </c>
      <c r="H134" s="2" t="n">
        <v>5.885</v>
      </c>
      <c r="I134" s="2" t="n">
        <v>1950</v>
      </c>
      <c r="J134" s="2" t="n">
        <v>5.631</v>
      </c>
      <c r="K134" s="2" t="n">
        <v>0.218</v>
      </c>
      <c r="L134" s="2" t="n">
        <v>5511</v>
      </c>
      <c r="M134" s="2" t="n">
        <v>70</v>
      </c>
      <c r="N134" s="2" t="n">
        <v>64</v>
      </c>
      <c r="O134" s="2" t="n">
        <v>32</v>
      </c>
      <c r="P134" s="2" t="s">
        <v>704</v>
      </c>
      <c r="Q134" s="2" t="s">
        <v>71</v>
      </c>
      <c r="R134" s="2" t="s">
        <v>700</v>
      </c>
      <c r="S134" s="2"/>
      <c r="T134" s="2"/>
      <c r="U134" s="2"/>
      <c r="V134" s="2" t="s">
        <v>71</v>
      </c>
    </row>
    <row r="135" customFormat="false" ht="15" hidden="false" customHeight="false" outlineLevel="0" collapsed="false">
      <c r="A135" s="2" t="s">
        <v>701</v>
      </c>
      <c r="B135" s="2" t="s">
        <v>326</v>
      </c>
      <c r="C135" s="2" t="s">
        <v>326</v>
      </c>
      <c r="D135" s="2" t="s">
        <v>48</v>
      </c>
      <c r="E135" s="2" t="s">
        <v>705</v>
      </c>
      <c r="F135" s="2" t="s">
        <v>703</v>
      </c>
      <c r="G135" s="2" t="s">
        <v>257</v>
      </c>
      <c r="H135" s="2" t="n">
        <v>5.91</v>
      </c>
      <c r="I135" s="2" t="n">
        <v>1950</v>
      </c>
      <c r="J135" s="2" t="n">
        <v>5.653</v>
      </c>
      <c r="K135" s="2" t="n">
        <v>0.2425</v>
      </c>
      <c r="L135" s="2" t="n">
        <v>5531</v>
      </c>
      <c r="M135" s="2" t="n">
        <v>90</v>
      </c>
      <c r="N135" s="2" t="n">
        <v>64</v>
      </c>
      <c r="O135" s="2" t="n">
        <v>32</v>
      </c>
      <c r="P135" s="2" t="s">
        <v>704</v>
      </c>
      <c r="Q135" s="2" t="s">
        <v>71</v>
      </c>
      <c r="R135" s="2" t="s">
        <v>700</v>
      </c>
      <c r="S135" s="2"/>
      <c r="T135" s="2"/>
      <c r="U135" s="2"/>
      <c r="V135" s="2" t="s">
        <v>43</v>
      </c>
    </row>
    <row r="136" customFormat="false" ht="15" hidden="false" customHeight="false" outlineLevel="0" collapsed="false">
      <c r="A136" s="2" t="s">
        <v>701</v>
      </c>
      <c r="B136" s="2" t="s">
        <v>328</v>
      </c>
      <c r="C136" s="2" t="s">
        <v>328</v>
      </c>
      <c r="D136" s="2" t="s">
        <v>39</v>
      </c>
      <c r="E136" s="2" t="s">
        <v>705</v>
      </c>
      <c r="F136" s="2" t="s">
        <v>703</v>
      </c>
      <c r="G136" s="2" t="s">
        <v>257</v>
      </c>
      <c r="H136" s="2" t="n">
        <v>5.93</v>
      </c>
      <c r="I136" s="2" t="n">
        <v>1950</v>
      </c>
      <c r="J136" s="2" t="n">
        <v>5.669</v>
      </c>
      <c r="K136" s="2" t="n">
        <v>0.2145</v>
      </c>
      <c r="L136" s="2" t="n">
        <v>5547</v>
      </c>
      <c r="M136" s="2" t="n">
        <v>75</v>
      </c>
      <c r="N136" s="2" t="n">
        <v>64</v>
      </c>
      <c r="O136" s="2" t="n">
        <v>32</v>
      </c>
      <c r="P136" s="2" t="s">
        <v>704</v>
      </c>
      <c r="Q136" s="2" t="s">
        <v>71</v>
      </c>
      <c r="R136" s="2" t="s">
        <v>700</v>
      </c>
      <c r="S136" s="2"/>
      <c r="T136" s="2"/>
      <c r="U136" s="2"/>
      <c r="V136" s="2" t="s">
        <v>71</v>
      </c>
    </row>
    <row r="137" customFormat="false" ht="15" hidden="false" customHeight="false" outlineLevel="0" collapsed="false">
      <c r="A137" s="2" t="s">
        <v>701</v>
      </c>
      <c r="B137" s="2" t="s">
        <v>330</v>
      </c>
      <c r="C137" s="2" t="s">
        <v>330</v>
      </c>
      <c r="D137" s="2" t="s">
        <v>48</v>
      </c>
      <c r="E137" s="2" t="s">
        <v>705</v>
      </c>
      <c r="F137" s="2" t="s">
        <v>703</v>
      </c>
      <c r="G137" s="2" t="s">
        <v>257</v>
      </c>
      <c r="H137" s="2" t="n">
        <v>6.06</v>
      </c>
      <c r="I137" s="2" t="n">
        <v>1950</v>
      </c>
      <c r="J137" s="2" t="n">
        <v>5.788</v>
      </c>
      <c r="K137" s="2" t="n">
        <v>0.219</v>
      </c>
      <c r="L137" s="2" t="n">
        <v>5663</v>
      </c>
      <c r="M137" s="2" t="n">
        <v>75</v>
      </c>
      <c r="N137" s="2" t="n">
        <v>64</v>
      </c>
      <c r="O137" s="2" t="n">
        <v>32</v>
      </c>
      <c r="P137" s="2" t="s">
        <v>704</v>
      </c>
      <c r="Q137" s="2" t="s">
        <v>71</v>
      </c>
      <c r="R137" s="2" t="s">
        <v>700</v>
      </c>
      <c r="S137" s="2"/>
      <c r="T137" s="2"/>
      <c r="U137" s="2"/>
      <c r="V137" s="2" t="s">
        <v>43</v>
      </c>
    </row>
    <row r="138" customFormat="false" ht="15" hidden="false" customHeight="false" outlineLevel="0" collapsed="false">
      <c r="A138" s="2" t="s">
        <v>701</v>
      </c>
      <c r="B138" s="2" t="s">
        <v>332</v>
      </c>
      <c r="C138" s="2" t="s">
        <v>332</v>
      </c>
      <c r="D138" s="2" t="s">
        <v>39</v>
      </c>
      <c r="E138" s="2" t="s">
        <v>705</v>
      </c>
      <c r="F138" s="2" t="s">
        <v>703</v>
      </c>
      <c r="G138" s="2" t="s">
        <v>257</v>
      </c>
      <c r="H138" s="2" t="n">
        <v>6.08</v>
      </c>
      <c r="I138" s="2" t="n">
        <v>1950</v>
      </c>
      <c r="J138" s="2" t="n">
        <v>5.811</v>
      </c>
      <c r="K138" s="2" t="n">
        <v>0.2665</v>
      </c>
      <c r="L138" s="2" t="n">
        <v>5684</v>
      </c>
      <c r="M138" s="2" t="n">
        <v>100</v>
      </c>
      <c r="N138" s="2" t="n">
        <v>64</v>
      </c>
      <c r="O138" s="2" t="n">
        <v>32</v>
      </c>
      <c r="P138" s="2" t="s">
        <v>704</v>
      </c>
      <c r="Q138" s="2" t="s">
        <v>71</v>
      </c>
      <c r="R138" s="2" t="s">
        <v>700</v>
      </c>
      <c r="S138" s="2"/>
      <c r="T138" s="2"/>
      <c r="U138" s="2"/>
      <c r="V138" s="2" t="s">
        <v>71</v>
      </c>
    </row>
    <row r="139" customFormat="false" ht="15" hidden="false" customHeight="false" outlineLevel="0" collapsed="false">
      <c r="A139" s="2" t="s">
        <v>701</v>
      </c>
      <c r="B139" s="2" t="s">
        <v>334</v>
      </c>
      <c r="C139" s="2" t="s">
        <v>334</v>
      </c>
      <c r="D139" s="2" t="s">
        <v>48</v>
      </c>
      <c r="E139" s="2" t="s">
        <v>705</v>
      </c>
      <c r="F139" s="2" t="s">
        <v>703</v>
      </c>
      <c r="G139" s="2" t="s">
        <v>257</v>
      </c>
      <c r="H139" s="2" t="n">
        <v>6.13</v>
      </c>
      <c r="I139" s="2" t="n">
        <v>1950</v>
      </c>
      <c r="J139" s="2" t="n">
        <v>5.863</v>
      </c>
      <c r="K139" s="2" t="n">
        <v>0.252</v>
      </c>
      <c r="L139" s="2" t="n">
        <v>5732</v>
      </c>
      <c r="M139" s="2" t="n">
        <v>85</v>
      </c>
      <c r="N139" s="2" t="n">
        <v>64</v>
      </c>
      <c r="O139" s="2" t="n">
        <v>32</v>
      </c>
      <c r="P139" s="2" t="s">
        <v>704</v>
      </c>
      <c r="Q139" s="2" t="s">
        <v>71</v>
      </c>
      <c r="R139" s="2" t="s">
        <v>700</v>
      </c>
      <c r="S139" s="2"/>
      <c r="T139" s="2"/>
      <c r="U139" s="2"/>
      <c r="V139" s="2" t="s">
        <v>43</v>
      </c>
    </row>
    <row r="140" customFormat="false" ht="15" hidden="false" customHeight="false" outlineLevel="0" collapsed="false">
      <c r="A140" s="2" t="s">
        <v>701</v>
      </c>
      <c r="B140" s="2" t="s">
        <v>336</v>
      </c>
      <c r="C140" s="2" t="s">
        <v>336</v>
      </c>
      <c r="D140" s="2" t="s">
        <v>48</v>
      </c>
      <c r="E140" s="2" t="s">
        <v>702</v>
      </c>
      <c r="F140" s="2" t="s">
        <v>703</v>
      </c>
      <c r="G140" s="2" t="s">
        <v>257</v>
      </c>
      <c r="H140" s="2" t="n">
        <v>6.18</v>
      </c>
      <c r="I140" s="2" t="n">
        <v>1950</v>
      </c>
      <c r="J140" s="2" t="n">
        <v>5.897</v>
      </c>
      <c r="K140" s="2" t="n">
        <v>0.246</v>
      </c>
      <c r="L140" s="2" t="n">
        <v>5760</v>
      </c>
      <c r="M140" s="2" t="n">
        <v>80</v>
      </c>
      <c r="N140" s="2" t="n">
        <v>64</v>
      </c>
      <c r="O140" s="2" t="n">
        <v>32</v>
      </c>
      <c r="P140" s="2" t="s">
        <v>704</v>
      </c>
      <c r="Q140" s="2" t="s">
        <v>71</v>
      </c>
      <c r="R140" s="2" t="s">
        <v>700</v>
      </c>
      <c r="S140" s="2"/>
      <c r="T140" s="2"/>
      <c r="U140" s="2"/>
      <c r="V140" s="2" t="s">
        <v>43</v>
      </c>
    </row>
    <row r="141" customFormat="false" ht="15" hidden="false" customHeight="false" outlineLevel="0" collapsed="false">
      <c r="A141" s="2" t="s">
        <v>701</v>
      </c>
      <c r="B141" s="2" t="s">
        <v>337</v>
      </c>
      <c r="C141" s="2" t="s">
        <v>337</v>
      </c>
      <c r="D141" s="2" t="s">
        <v>48</v>
      </c>
      <c r="E141" s="2" t="s">
        <v>705</v>
      </c>
      <c r="F141" s="2" t="s">
        <v>703</v>
      </c>
      <c r="G141" s="2" t="s">
        <v>257</v>
      </c>
      <c r="H141" s="2" t="n">
        <v>6.215</v>
      </c>
      <c r="I141" s="2" t="n">
        <v>1950</v>
      </c>
      <c r="J141" s="2" t="n">
        <v>5.951</v>
      </c>
      <c r="K141" s="2" t="n">
        <v>0.2325</v>
      </c>
      <c r="L141" s="2" t="n">
        <v>5805</v>
      </c>
      <c r="M141" s="2" t="n">
        <v>75</v>
      </c>
      <c r="N141" s="2" t="n">
        <v>64</v>
      </c>
      <c r="O141" s="2" t="n">
        <v>32</v>
      </c>
      <c r="P141" s="2" t="s">
        <v>704</v>
      </c>
      <c r="Q141" s="2" t="s">
        <v>71</v>
      </c>
      <c r="R141" s="2" t="s">
        <v>700</v>
      </c>
      <c r="S141" s="2"/>
      <c r="T141" s="2"/>
      <c r="U141" s="2"/>
      <c r="V141" s="2" t="s">
        <v>43</v>
      </c>
    </row>
    <row r="142" customFormat="false" ht="15" hidden="false" customHeight="false" outlineLevel="0" collapsed="false">
      <c r="A142" s="2" t="s">
        <v>701</v>
      </c>
      <c r="B142" s="2" t="s">
        <v>339</v>
      </c>
      <c r="C142" s="2" t="s">
        <v>339</v>
      </c>
      <c r="D142" s="2" t="s">
        <v>48</v>
      </c>
      <c r="E142" s="2" t="s">
        <v>705</v>
      </c>
      <c r="F142" s="2" t="s">
        <v>703</v>
      </c>
      <c r="G142" s="2" t="s">
        <v>257</v>
      </c>
      <c r="H142" s="2" t="n">
        <v>6.25</v>
      </c>
      <c r="I142" s="2" t="n">
        <v>1950</v>
      </c>
      <c r="J142" s="2" t="n">
        <v>5.991</v>
      </c>
      <c r="K142" s="2" t="n">
        <v>0.2515</v>
      </c>
      <c r="L142" s="2" t="n">
        <v>5841</v>
      </c>
      <c r="M142" s="2" t="n">
        <v>90</v>
      </c>
      <c r="N142" s="2" t="n">
        <v>64</v>
      </c>
      <c r="O142" s="2" t="n">
        <v>32</v>
      </c>
      <c r="P142" s="2" t="s">
        <v>704</v>
      </c>
      <c r="Q142" s="2" t="s">
        <v>71</v>
      </c>
      <c r="R142" s="2" t="s">
        <v>700</v>
      </c>
      <c r="S142" s="2"/>
      <c r="T142" s="2"/>
      <c r="U142" s="2"/>
      <c r="V142" s="2" t="s">
        <v>43</v>
      </c>
    </row>
    <row r="143" customFormat="false" ht="15" hidden="false" customHeight="false" outlineLevel="0" collapsed="false">
      <c r="A143" s="2" t="s">
        <v>701</v>
      </c>
      <c r="B143" s="2" t="s">
        <v>341</v>
      </c>
      <c r="C143" s="2" t="s">
        <v>341</v>
      </c>
      <c r="D143" s="2" t="s">
        <v>39</v>
      </c>
      <c r="E143" s="2" t="s">
        <v>705</v>
      </c>
      <c r="F143" s="2" t="s">
        <v>703</v>
      </c>
      <c r="G143" s="2" t="s">
        <v>257</v>
      </c>
      <c r="H143" s="2" t="n">
        <v>6.35</v>
      </c>
      <c r="I143" s="2" t="n">
        <v>1950</v>
      </c>
      <c r="J143" s="2" t="n">
        <v>6.09</v>
      </c>
      <c r="K143" s="2" t="n">
        <v>0.207</v>
      </c>
      <c r="L143" s="2" t="n">
        <v>5937</v>
      </c>
      <c r="M143" s="2" t="n">
        <v>75</v>
      </c>
      <c r="N143" s="2" t="n">
        <v>64</v>
      </c>
      <c r="O143" s="2" t="n">
        <v>32</v>
      </c>
      <c r="P143" s="2" t="s">
        <v>704</v>
      </c>
      <c r="Q143" s="2" t="s">
        <v>71</v>
      </c>
      <c r="R143" s="2" t="s">
        <v>700</v>
      </c>
      <c r="S143" s="2"/>
      <c r="T143" s="2"/>
      <c r="U143" s="2"/>
      <c r="V143" s="2" t="s">
        <v>43</v>
      </c>
    </row>
    <row r="144" customFormat="false" ht="15" hidden="false" customHeight="false" outlineLevel="0" collapsed="false">
      <c r="A144" s="2" t="s">
        <v>701</v>
      </c>
      <c r="B144" s="2" t="s">
        <v>343</v>
      </c>
      <c r="C144" s="2" t="s">
        <v>343</v>
      </c>
      <c r="D144" s="2" t="s">
        <v>39</v>
      </c>
      <c r="E144" s="2" t="s">
        <v>705</v>
      </c>
      <c r="F144" s="2" t="s">
        <v>703</v>
      </c>
      <c r="G144" s="2" t="s">
        <v>257</v>
      </c>
      <c r="H144" s="2" t="n">
        <v>6.35</v>
      </c>
      <c r="I144" s="2" t="n">
        <v>1950</v>
      </c>
      <c r="J144" s="2" t="n">
        <v>6.09</v>
      </c>
      <c r="K144" s="2" t="n">
        <v>0.207</v>
      </c>
      <c r="L144" s="2" t="n">
        <v>5937</v>
      </c>
      <c r="M144" s="2" t="n">
        <v>75</v>
      </c>
      <c r="N144" s="2" t="n">
        <v>64</v>
      </c>
      <c r="O144" s="2" t="n">
        <v>32</v>
      </c>
      <c r="P144" s="2" t="s">
        <v>704</v>
      </c>
      <c r="Q144" s="2" t="s">
        <v>71</v>
      </c>
      <c r="R144" s="2" t="s">
        <v>700</v>
      </c>
      <c r="S144" s="2"/>
      <c r="T144" s="2"/>
      <c r="U144" s="2"/>
      <c r="V144" s="2" t="s">
        <v>43</v>
      </c>
    </row>
    <row r="145" customFormat="false" ht="15" hidden="false" customHeight="false" outlineLevel="0" collapsed="false">
      <c r="A145" s="2" t="s">
        <v>701</v>
      </c>
      <c r="B145" s="2" t="s">
        <v>344</v>
      </c>
      <c r="C145" s="2" t="s">
        <v>344</v>
      </c>
      <c r="D145" s="2" t="s">
        <v>48</v>
      </c>
      <c r="E145" s="2" t="s">
        <v>705</v>
      </c>
      <c r="F145" s="2" t="s">
        <v>703</v>
      </c>
      <c r="G145" s="2" t="s">
        <v>257</v>
      </c>
      <c r="H145" s="2" t="n">
        <v>6.39</v>
      </c>
      <c r="I145" s="2" t="n">
        <v>1950</v>
      </c>
      <c r="J145" s="2" t="n">
        <v>6.142</v>
      </c>
      <c r="K145" s="2" t="n">
        <v>0.177</v>
      </c>
      <c r="L145" s="2" t="n">
        <v>5986</v>
      </c>
      <c r="M145" s="2" t="n">
        <v>45</v>
      </c>
      <c r="N145" s="2" t="n">
        <v>64</v>
      </c>
      <c r="O145" s="2" t="n">
        <v>32</v>
      </c>
      <c r="P145" s="2" t="s">
        <v>704</v>
      </c>
      <c r="Q145" s="2" t="s">
        <v>71</v>
      </c>
      <c r="R145" s="2" t="s">
        <v>700</v>
      </c>
      <c r="S145" s="2"/>
      <c r="T145" s="2"/>
      <c r="U145" s="2"/>
      <c r="V145" s="2" t="s">
        <v>43</v>
      </c>
    </row>
    <row r="146" customFormat="false" ht="15" hidden="false" customHeight="false" outlineLevel="0" collapsed="false">
      <c r="A146" s="2" t="s">
        <v>701</v>
      </c>
      <c r="B146" s="2" t="s">
        <v>346</v>
      </c>
      <c r="C146" s="2" t="s">
        <v>346</v>
      </c>
      <c r="D146" s="2" t="s">
        <v>39</v>
      </c>
      <c r="E146" s="2" t="s">
        <v>705</v>
      </c>
      <c r="F146" s="2" t="s">
        <v>703</v>
      </c>
      <c r="G146" s="2" t="s">
        <v>257</v>
      </c>
      <c r="H146" s="2" t="n">
        <v>6.43</v>
      </c>
      <c r="I146" s="2" t="n">
        <v>1950</v>
      </c>
      <c r="J146" s="2" t="n">
        <v>6.169</v>
      </c>
      <c r="K146" s="2" t="n">
        <v>0.239</v>
      </c>
      <c r="L146" s="2" t="n">
        <v>6014</v>
      </c>
      <c r="M146" s="2" t="n">
        <v>90</v>
      </c>
      <c r="N146" s="2" t="n">
        <v>64</v>
      </c>
      <c r="O146" s="2" t="n">
        <v>32</v>
      </c>
      <c r="P146" s="2" t="s">
        <v>704</v>
      </c>
      <c r="Q146" s="2" t="s">
        <v>71</v>
      </c>
      <c r="R146" s="2" t="s">
        <v>700</v>
      </c>
      <c r="S146" s="2"/>
      <c r="T146" s="2"/>
      <c r="U146" s="2"/>
      <c r="V146" s="2" t="s">
        <v>43</v>
      </c>
    </row>
    <row r="147" customFormat="false" ht="15" hidden="false" customHeight="false" outlineLevel="0" collapsed="false">
      <c r="A147" s="2" t="s">
        <v>701</v>
      </c>
      <c r="B147" s="2" t="s">
        <v>348</v>
      </c>
      <c r="C147" s="2" t="s">
        <v>348</v>
      </c>
      <c r="D147" s="2" t="s">
        <v>48</v>
      </c>
      <c r="E147" s="2" t="s">
        <v>705</v>
      </c>
      <c r="F147" s="2" t="s">
        <v>703</v>
      </c>
      <c r="G147" s="2" t="s">
        <v>257</v>
      </c>
      <c r="H147" s="2" t="n">
        <v>6.44</v>
      </c>
      <c r="I147" s="2" t="n">
        <v>1950</v>
      </c>
      <c r="J147" s="2" t="n">
        <v>6.18</v>
      </c>
      <c r="K147" s="2" t="n">
        <v>0.2335</v>
      </c>
      <c r="L147" s="2" t="n">
        <v>6024</v>
      </c>
      <c r="M147" s="2" t="n">
        <v>85</v>
      </c>
      <c r="N147" s="2" t="n">
        <v>64</v>
      </c>
      <c r="O147" s="2" t="n">
        <v>32</v>
      </c>
      <c r="P147" s="2" t="s">
        <v>704</v>
      </c>
      <c r="Q147" s="2" t="s">
        <v>71</v>
      </c>
      <c r="R147" s="2" t="s">
        <v>700</v>
      </c>
      <c r="S147" s="2"/>
      <c r="T147" s="2"/>
      <c r="U147" s="2"/>
      <c r="V147" s="2" t="s">
        <v>43</v>
      </c>
    </row>
    <row r="148" customFormat="false" ht="15" hidden="false" customHeight="false" outlineLevel="0" collapsed="false">
      <c r="A148" s="2" t="s">
        <v>701</v>
      </c>
      <c r="B148" s="2" t="s">
        <v>350</v>
      </c>
      <c r="C148" s="2" t="s">
        <v>350</v>
      </c>
      <c r="D148" s="2" t="s">
        <v>48</v>
      </c>
      <c r="E148" s="2" t="s">
        <v>705</v>
      </c>
      <c r="F148" s="2" t="s">
        <v>703</v>
      </c>
      <c r="G148" s="2" t="s">
        <v>257</v>
      </c>
      <c r="H148" s="2" t="n">
        <v>6.46</v>
      </c>
      <c r="I148" s="2" t="n">
        <v>1950</v>
      </c>
      <c r="J148" s="2" t="n">
        <v>6.197</v>
      </c>
      <c r="K148" s="2" t="n">
        <v>0.26</v>
      </c>
      <c r="L148" s="2" t="n">
        <v>6040</v>
      </c>
      <c r="M148" s="2" t="n">
        <v>100</v>
      </c>
      <c r="N148" s="2" t="n">
        <v>64</v>
      </c>
      <c r="O148" s="2" t="n">
        <v>32</v>
      </c>
      <c r="P148" s="2" t="s">
        <v>704</v>
      </c>
      <c r="Q148" s="2" t="s">
        <v>71</v>
      </c>
      <c r="R148" s="2" t="s">
        <v>700</v>
      </c>
      <c r="S148" s="2"/>
      <c r="T148" s="2"/>
      <c r="U148" s="2"/>
      <c r="V148" s="2" t="s">
        <v>43</v>
      </c>
    </row>
    <row r="149" customFormat="false" ht="15" hidden="false" customHeight="false" outlineLevel="0" collapsed="false">
      <c r="A149" s="2" t="s">
        <v>701</v>
      </c>
      <c r="B149" s="2" t="s">
        <v>352</v>
      </c>
      <c r="C149" s="2" t="s">
        <v>352</v>
      </c>
      <c r="D149" s="2" t="s">
        <v>48</v>
      </c>
      <c r="E149" s="2" t="s">
        <v>705</v>
      </c>
      <c r="F149" s="2" t="s">
        <v>703</v>
      </c>
      <c r="G149" s="2" t="s">
        <v>257</v>
      </c>
      <c r="H149" s="2" t="n">
        <v>6.476</v>
      </c>
      <c r="I149" s="2" t="n">
        <v>1950</v>
      </c>
      <c r="J149" s="2" t="n">
        <v>6.218</v>
      </c>
      <c r="K149" s="2" t="n">
        <v>0.2155</v>
      </c>
      <c r="L149" s="2" t="n">
        <v>6058</v>
      </c>
      <c r="M149" s="2" t="n">
        <v>70</v>
      </c>
      <c r="N149" s="2" t="n">
        <v>64</v>
      </c>
      <c r="O149" s="2" t="n">
        <v>32</v>
      </c>
      <c r="P149" s="2" t="s">
        <v>704</v>
      </c>
      <c r="Q149" s="2" t="s">
        <v>71</v>
      </c>
      <c r="R149" s="2" t="s">
        <v>700</v>
      </c>
      <c r="S149" s="2"/>
      <c r="T149" s="2"/>
      <c r="U149" s="2"/>
      <c r="V149" s="2" t="s">
        <v>43</v>
      </c>
    </row>
    <row r="150" customFormat="false" ht="15" hidden="false" customHeight="false" outlineLevel="0" collapsed="false">
      <c r="A150" s="2" t="s">
        <v>701</v>
      </c>
      <c r="B150" s="2" t="s">
        <v>354</v>
      </c>
      <c r="C150" s="2" t="s">
        <v>354</v>
      </c>
      <c r="D150" s="2" t="s">
        <v>48</v>
      </c>
      <c r="E150" s="2" t="s">
        <v>705</v>
      </c>
      <c r="F150" s="2" t="s">
        <v>703</v>
      </c>
      <c r="G150" s="2" t="s">
        <v>257</v>
      </c>
      <c r="H150" s="2" t="n">
        <v>6.52</v>
      </c>
      <c r="I150" s="2" t="n">
        <v>1950</v>
      </c>
      <c r="J150" s="2" t="n">
        <v>6.261</v>
      </c>
      <c r="K150" s="2" t="n">
        <v>0.2055</v>
      </c>
      <c r="L150" s="2" t="n">
        <v>6097</v>
      </c>
      <c r="M150" s="2" t="n">
        <v>60</v>
      </c>
      <c r="N150" s="2" t="n">
        <v>64</v>
      </c>
      <c r="O150" s="2" t="n">
        <v>32</v>
      </c>
      <c r="P150" s="2" t="s">
        <v>704</v>
      </c>
      <c r="Q150" s="2" t="s">
        <v>71</v>
      </c>
      <c r="R150" s="2" t="s">
        <v>700</v>
      </c>
      <c r="S150" s="2"/>
      <c r="T150" s="2"/>
      <c r="U150" s="2"/>
      <c r="V150" s="2" t="s">
        <v>43</v>
      </c>
    </row>
    <row r="151" customFormat="false" ht="15" hidden="false" customHeight="false" outlineLevel="0" collapsed="false">
      <c r="A151" s="2" t="s">
        <v>701</v>
      </c>
      <c r="B151" s="2" t="s">
        <v>356</v>
      </c>
      <c r="C151" s="2" t="s">
        <v>356</v>
      </c>
      <c r="D151" s="2" t="s">
        <v>48</v>
      </c>
      <c r="E151" s="2" t="s">
        <v>705</v>
      </c>
      <c r="F151" s="2" t="s">
        <v>703</v>
      </c>
      <c r="G151" s="2" t="s">
        <v>257</v>
      </c>
      <c r="H151" s="2" t="n">
        <v>6.59</v>
      </c>
      <c r="I151" s="2" t="n">
        <v>1950</v>
      </c>
      <c r="J151" s="2" t="n">
        <v>6.332</v>
      </c>
      <c r="K151" s="2" t="n">
        <v>0.2235</v>
      </c>
      <c r="L151" s="2" t="n">
        <v>6163</v>
      </c>
      <c r="M151" s="2" t="n">
        <v>75</v>
      </c>
      <c r="N151" s="2" t="n">
        <v>64</v>
      </c>
      <c r="O151" s="2" t="n">
        <v>32</v>
      </c>
      <c r="P151" s="2" t="s">
        <v>704</v>
      </c>
      <c r="Q151" s="2" t="s">
        <v>71</v>
      </c>
      <c r="R151" s="2" t="s">
        <v>700</v>
      </c>
      <c r="S151" s="2"/>
      <c r="T151" s="2"/>
      <c r="U151" s="2"/>
      <c r="V151" s="2" t="s">
        <v>43</v>
      </c>
    </row>
    <row r="152" customFormat="false" ht="15" hidden="false" customHeight="false" outlineLevel="0" collapsed="false">
      <c r="A152" s="2" t="s">
        <v>701</v>
      </c>
      <c r="B152" s="2" t="s">
        <v>358</v>
      </c>
      <c r="C152" s="2" t="s">
        <v>358</v>
      </c>
      <c r="D152" s="2" t="s">
        <v>39</v>
      </c>
      <c r="E152" s="2" t="s">
        <v>705</v>
      </c>
      <c r="F152" s="2" t="s">
        <v>703</v>
      </c>
      <c r="G152" s="2" t="s">
        <v>257</v>
      </c>
      <c r="H152" s="2" t="n">
        <v>6.615</v>
      </c>
      <c r="I152" s="2" t="n">
        <v>1950</v>
      </c>
      <c r="J152" s="2" t="n">
        <v>6.354</v>
      </c>
      <c r="K152" s="2" t="n">
        <v>0.2225</v>
      </c>
      <c r="L152" s="2" t="n">
        <v>6185</v>
      </c>
      <c r="M152" s="2" t="n">
        <v>75</v>
      </c>
      <c r="N152" s="2" t="n">
        <v>64</v>
      </c>
      <c r="O152" s="2" t="n">
        <v>32</v>
      </c>
      <c r="P152" s="2" t="s">
        <v>704</v>
      </c>
      <c r="Q152" s="2" t="s">
        <v>71</v>
      </c>
      <c r="R152" s="2" t="s">
        <v>700</v>
      </c>
      <c r="S152" s="2"/>
      <c r="T152" s="2"/>
      <c r="U152" s="2"/>
      <c r="V152" s="2" t="s">
        <v>43</v>
      </c>
    </row>
    <row r="153" customFormat="false" ht="15" hidden="false" customHeight="false" outlineLevel="0" collapsed="false">
      <c r="A153" s="2" t="s">
        <v>701</v>
      </c>
      <c r="B153" s="2" t="s">
        <v>360</v>
      </c>
      <c r="C153" s="2" t="s">
        <v>360</v>
      </c>
      <c r="D153" s="2" t="s">
        <v>39</v>
      </c>
      <c r="E153" s="2" t="s">
        <v>705</v>
      </c>
      <c r="F153" s="2" t="s">
        <v>703</v>
      </c>
      <c r="G153" s="2" t="s">
        <v>257</v>
      </c>
      <c r="H153" s="2" t="n">
        <v>6.625</v>
      </c>
      <c r="I153" s="2" t="n">
        <v>1950</v>
      </c>
      <c r="J153" s="2" t="n">
        <v>6.363</v>
      </c>
      <c r="K153" s="2" t="n">
        <v>0.2295</v>
      </c>
      <c r="L153" s="2" t="n">
        <v>6193</v>
      </c>
      <c r="M153" s="2" t="n">
        <v>80</v>
      </c>
      <c r="N153" s="2" t="n">
        <v>64</v>
      </c>
      <c r="O153" s="2" t="n">
        <v>32</v>
      </c>
      <c r="P153" s="2" t="s">
        <v>704</v>
      </c>
      <c r="Q153" s="2" t="s">
        <v>71</v>
      </c>
      <c r="R153" s="2" t="s">
        <v>700</v>
      </c>
      <c r="S153" s="2"/>
      <c r="T153" s="2"/>
      <c r="U153" s="2"/>
      <c r="V153" s="2" t="s">
        <v>43</v>
      </c>
    </row>
    <row r="154" customFormat="false" ht="15" hidden="false" customHeight="false" outlineLevel="0" collapsed="false">
      <c r="A154" s="2" t="s">
        <v>701</v>
      </c>
      <c r="B154" s="2" t="s">
        <v>362</v>
      </c>
      <c r="C154" s="2" t="s">
        <v>362</v>
      </c>
      <c r="D154" s="2" t="s">
        <v>48</v>
      </c>
      <c r="E154" s="2" t="s">
        <v>705</v>
      </c>
      <c r="F154" s="2" t="s">
        <v>703</v>
      </c>
      <c r="G154" s="2" t="s">
        <v>257</v>
      </c>
      <c r="H154" s="2" t="n">
        <v>6.635</v>
      </c>
      <c r="I154" s="2" t="n">
        <v>1950</v>
      </c>
      <c r="J154" s="2" t="n">
        <v>6.372</v>
      </c>
      <c r="K154" s="2" t="n">
        <v>0.227</v>
      </c>
      <c r="L154" s="2" t="n">
        <v>6202</v>
      </c>
      <c r="M154" s="2" t="n">
        <v>80</v>
      </c>
      <c r="N154" s="2" t="n">
        <v>64</v>
      </c>
      <c r="O154" s="2" t="n">
        <v>32</v>
      </c>
      <c r="P154" s="2" t="s">
        <v>704</v>
      </c>
      <c r="Q154" s="2" t="s">
        <v>71</v>
      </c>
      <c r="R154" s="2" t="s">
        <v>700</v>
      </c>
      <c r="S154" s="2"/>
      <c r="T154" s="2"/>
      <c r="U154" s="2"/>
      <c r="V154" s="2" t="s">
        <v>43</v>
      </c>
    </row>
    <row r="155" customFormat="false" ht="15" hidden="false" customHeight="false" outlineLevel="0" collapsed="false">
      <c r="A155" s="2" t="s">
        <v>701</v>
      </c>
      <c r="B155" s="2" t="s">
        <v>364</v>
      </c>
      <c r="C155" s="2" t="s">
        <v>364</v>
      </c>
      <c r="D155" s="2" t="s">
        <v>48</v>
      </c>
      <c r="E155" s="2" t="s">
        <v>705</v>
      </c>
      <c r="F155" s="2" t="s">
        <v>703</v>
      </c>
      <c r="G155" s="2" t="s">
        <v>257</v>
      </c>
      <c r="H155" s="2" t="n">
        <v>6.635</v>
      </c>
      <c r="I155" s="2" t="n">
        <v>1950</v>
      </c>
      <c r="J155" s="2" t="n">
        <v>6.373</v>
      </c>
      <c r="K155" s="2" t="n">
        <v>0.2825</v>
      </c>
      <c r="L155" s="2" t="n">
        <v>6201</v>
      </c>
      <c r="M155" s="2" t="n">
        <v>110</v>
      </c>
      <c r="N155" s="2" t="n">
        <v>64</v>
      </c>
      <c r="O155" s="2" t="n">
        <v>32</v>
      </c>
      <c r="P155" s="2" t="s">
        <v>704</v>
      </c>
      <c r="Q155" s="2" t="s">
        <v>71</v>
      </c>
      <c r="R155" s="2" t="s">
        <v>700</v>
      </c>
      <c r="S155" s="2"/>
      <c r="T155" s="2"/>
      <c r="U155" s="2"/>
      <c r="V155" s="2" t="s">
        <v>43</v>
      </c>
    </row>
    <row r="156" customFormat="false" ht="15" hidden="false" customHeight="false" outlineLevel="0" collapsed="false">
      <c r="A156" s="2" t="s">
        <v>701</v>
      </c>
      <c r="B156" s="2" t="s">
        <v>366</v>
      </c>
      <c r="C156" s="2" t="s">
        <v>366</v>
      </c>
      <c r="D156" s="2" t="s">
        <v>39</v>
      </c>
      <c r="E156" s="2" t="s">
        <v>705</v>
      </c>
      <c r="F156" s="2" t="s">
        <v>703</v>
      </c>
      <c r="G156" s="2" t="s">
        <v>257</v>
      </c>
      <c r="H156" s="2" t="n">
        <v>6.675</v>
      </c>
      <c r="I156" s="2" t="n">
        <v>1950</v>
      </c>
      <c r="J156" s="2" t="n">
        <v>6.406</v>
      </c>
      <c r="K156" s="2" t="n">
        <v>0.2155</v>
      </c>
      <c r="L156" s="2" t="n">
        <v>6235</v>
      </c>
      <c r="M156" s="2" t="n">
        <v>75</v>
      </c>
      <c r="N156" s="2" t="n">
        <v>64</v>
      </c>
      <c r="O156" s="2" t="n">
        <v>32</v>
      </c>
      <c r="P156" s="2" t="s">
        <v>704</v>
      </c>
      <c r="Q156" s="2" t="s">
        <v>71</v>
      </c>
      <c r="R156" s="2" t="s">
        <v>700</v>
      </c>
      <c r="S156" s="2"/>
      <c r="T156" s="2"/>
      <c r="U156" s="2"/>
      <c r="V156" s="2" t="s">
        <v>43</v>
      </c>
    </row>
    <row r="157" customFormat="false" ht="15" hidden="false" customHeight="false" outlineLevel="0" collapsed="false">
      <c r="A157" s="2" t="s">
        <v>701</v>
      </c>
      <c r="B157" s="2" t="s">
        <v>368</v>
      </c>
      <c r="C157" s="2" t="s">
        <v>368</v>
      </c>
      <c r="D157" s="2" t="s">
        <v>39</v>
      </c>
      <c r="E157" s="2" t="s">
        <v>705</v>
      </c>
      <c r="F157" s="2" t="s">
        <v>703</v>
      </c>
      <c r="G157" s="2" t="s">
        <v>257</v>
      </c>
      <c r="H157" s="2" t="n">
        <v>6.74</v>
      </c>
      <c r="I157" s="2" t="n">
        <v>1950</v>
      </c>
      <c r="J157" s="2" t="n">
        <v>6.465</v>
      </c>
      <c r="K157" s="2" t="n">
        <v>0.2165</v>
      </c>
      <c r="L157" s="2" t="n">
        <v>6291</v>
      </c>
      <c r="M157" s="2" t="n">
        <v>75</v>
      </c>
      <c r="N157" s="2" t="n">
        <v>64</v>
      </c>
      <c r="O157" s="2" t="n">
        <v>32</v>
      </c>
      <c r="P157" s="2" t="s">
        <v>704</v>
      </c>
      <c r="Q157" s="2" t="s">
        <v>71</v>
      </c>
      <c r="R157" s="2" t="s">
        <v>700</v>
      </c>
      <c r="S157" s="2"/>
      <c r="T157" s="2"/>
      <c r="U157" s="2"/>
      <c r="V157" s="2" t="s">
        <v>43</v>
      </c>
    </row>
    <row r="158" customFormat="false" ht="15" hidden="false" customHeight="false" outlineLevel="0" collapsed="false">
      <c r="A158" s="2" t="s">
        <v>701</v>
      </c>
      <c r="B158" s="2" t="s">
        <v>370</v>
      </c>
      <c r="C158" s="2" t="s">
        <v>370</v>
      </c>
      <c r="D158" s="2" t="s">
        <v>48</v>
      </c>
      <c r="E158" s="2" t="s">
        <v>702</v>
      </c>
      <c r="F158" s="2" t="s">
        <v>703</v>
      </c>
      <c r="G158" s="2" t="s">
        <v>257</v>
      </c>
      <c r="H158" s="2" t="n">
        <v>6.775</v>
      </c>
      <c r="I158" s="2" t="n">
        <v>1950</v>
      </c>
      <c r="J158" s="2" t="n">
        <v>6.507</v>
      </c>
      <c r="K158" s="2" t="n">
        <v>0.2275</v>
      </c>
      <c r="L158" s="2" t="n">
        <v>6330</v>
      </c>
      <c r="M158" s="2" t="n">
        <v>80</v>
      </c>
      <c r="N158" s="2" t="n">
        <v>64</v>
      </c>
      <c r="O158" s="2" t="n">
        <v>32</v>
      </c>
      <c r="P158" s="2" t="s">
        <v>704</v>
      </c>
      <c r="Q158" s="2" t="s">
        <v>71</v>
      </c>
      <c r="R158" s="2" t="s">
        <v>700</v>
      </c>
      <c r="S158" s="2"/>
      <c r="T158" s="2"/>
      <c r="U158" s="2"/>
      <c r="V158" s="2" t="s">
        <v>43</v>
      </c>
    </row>
    <row r="159" customFormat="false" ht="15" hidden="false" customHeight="false" outlineLevel="0" collapsed="false">
      <c r="A159" s="2" t="s">
        <v>701</v>
      </c>
      <c r="B159" s="2" t="s">
        <v>371</v>
      </c>
      <c r="C159" s="2" t="s">
        <v>371</v>
      </c>
      <c r="D159" s="2" t="s">
        <v>39</v>
      </c>
      <c r="E159" s="2" t="s">
        <v>705</v>
      </c>
      <c r="F159" s="2" t="s">
        <v>703</v>
      </c>
      <c r="G159" s="2" t="s">
        <v>257</v>
      </c>
      <c r="H159" s="2" t="n">
        <v>7.05</v>
      </c>
      <c r="I159" s="2" t="n">
        <v>1950</v>
      </c>
      <c r="J159" s="2" t="n">
        <v>6.745</v>
      </c>
      <c r="K159" s="2" t="n">
        <v>0.232</v>
      </c>
      <c r="L159" s="2" t="n">
        <v>6541</v>
      </c>
      <c r="M159" s="2" t="n">
        <v>70</v>
      </c>
      <c r="N159" s="2" t="n">
        <v>64</v>
      </c>
      <c r="O159" s="2" t="n">
        <v>32</v>
      </c>
      <c r="P159" s="2" t="s">
        <v>704</v>
      </c>
      <c r="Q159" s="2" t="s">
        <v>71</v>
      </c>
      <c r="R159" s="2" t="s">
        <v>700</v>
      </c>
      <c r="S159" s="2"/>
      <c r="T159" s="2"/>
      <c r="U159" s="2"/>
      <c r="V159" s="2" t="s">
        <v>43</v>
      </c>
    </row>
    <row r="160" customFormat="false" ht="15" hidden="false" customHeight="false" outlineLevel="0" collapsed="false">
      <c r="A160" s="2" t="s">
        <v>701</v>
      </c>
      <c r="B160" s="2" t="s">
        <v>373</v>
      </c>
      <c r="C160" s="2" t="s">
        <v>373</v>
      </c>
      <c r="D160" s="2" t="s">
        <v>48</v>
      </c>
      <c r="E160" s="2" t="s">
        <v>705</v>
      </c>
      <c r="F160" s="2" t="s">
        <v>703</v>
      </c>
      <c r="G160" s="2" t="s">
        <v>257</v>
      </c>
      <c r="H160" s="2" t="n">
        <v>7.07</v>
      </c>
      <c r="I160" s="2" t="n">
        <v>1950</v>
      </c>
      <c r="J160" s="2" t="n">
        <v>6.771</v>
      </c>
      <c r="K160" s="2" t="n">
        <v>0.26</v>
      </c>
      <c r="L160" s="2" t="n">
        <v>6563</v>
      </c>
      <c r="M160" s="2" t="n">
        <v>85</v>
      </c>
      <c r="N160" s="2" t="n">
        <v>64</v>
      </c>
      <c r="O160" s="2" t="n">
        <v>32</v>
      </c>
      <c r="P160" s="2" t="s">
        <v>704</v>
      </c>
      <c r="Q160" s="2" t="s">
        <v>71</v>
      </c>
      <c r="R160" s="2" t="s">
        <v>700</v>
      </c>
      <c r="S160" s="2"/>
      <c r="T160" s="2"/>
      <c r="U160" s="2"/>
      <c r="V160" s="2" t="s">
        <v>43</v>
      </c>
    </row>
    <row r="161" customFormat="false" ht="15" hidden="false" customHeight="false" outlineLevel="0" collapsed="false">
      <c r="A161" s="2" t="s">
        <v>701</v>
      </c>
      <c r="B161" s="2" t="s">
        <v>375</v>
      </c>
      <c r="C161" s="2" t="s">
        <v>375</v>
      </c>
      <c r="D161" s="2" t="s">
        <v>39</v>
      </c>
      <c r="E161" s="2" t="s">
        <v>705</v>
      </c>
      <c r="F161" s="2" t="s">
        <v>703</v>
      </c>
      <c r="G161" s="2" t="s">
        <v>257</v>
      </c>
      <c r="H161" s="2" t="n">
        <v>7.07</v>
      </c>
      <c r="I161" s="2" t="n">
        <v>1950</v>
      </c>
      <c r="J161" s="2" t="n">
        <v>6.767</v>
      </c>
      <c r="K161" s="2" t="n">
        <v>0.241</v>
      </c>
      <c r="L161" s="2" t="n">
        <v>6560</v>
      </c>
      <c r="M161" s="2" t="n">
        <v>75</v>
      </c>
      <c r="N161" s="2" t="n">
        <v>64</v>
      </c>
      <c r="O161" s="2" t="n">
        <v>32</v>
      </c>
      <c r="P161" s="2" t="s">
        <v>704</v>
      </c>
      <c r="Q161" s="2" t="s">
        <v>71</v>
      </c>
      <c r="R161" s="2" t="s">
        <v>700</v>
      </c>
      <c r="S161" s="2"/>
      <c r="T161" s="2"/>
      <c r="U161" s="2"/>
      <c r="V161" s="2" t="s">
        <v>43</v>
      </c>
    </row>
    <row r="162" customFormat="false" ht="15" hidden="false" customHeight="false" outlineLevel="0" collapsed="false">
      <c r="A162" s="2" t="s">
        <v>701</v>
      </c>
      <c r="B162" s="2" t="s">
        <v>377</v>
      </c>
      <c r="C162" s="2" t="s">
        <v>377</v>
      </c>
      <c r="D162" s="2" t="s">
        <v>48</v>
      </c>
      <c r="E162" s="2" t="s">
        <v>705</v>
      </c>
      <c r="F162" s="2" t="s">
        <v>703</v>
      </c>
      <c r="G162" s="2" t="s">
        <v>257</v>
      </c>
      <c r="H162" s="2" t="n">
        <v>7.145</v>
      </c>
      <c r="I162" s="2" t="n">
        <v>1950</v>
      </c>
      <c r="J162" s="2" t="n">
        <v>6.833</v>
      </c>
      <c r="K162" s="2" t="n">
        <v>0.2055</v>
      </c>
      <c r="L162" s="2" t="n">
        <v>6619</v>
      </c>
      <c r="M162" s="2" t="n">
        <v>50</v>
      </c>
      <c r="N162" s="2" t="n">
        <v>64</v>
      </c>
      <c r="O162" s="2" t="n">
        <v>32</v>
      </c>
      <c r="P162" s="2" t="s">
        <v>704</v>
      </c>
      <c r="Q162" s="2" t="s">
        <v>71</v>
      </c>
      <c r="R162" s="2" t="s">
        <v>700</v>
      </c>
      <c r="S162" s="2"/>
      <c r="T162" s="2"/>
      <c r="U162" s="2"/>
      <c r="V162" s="2" t="s">
        <v>43</v>
      </c>
    </row>
    <row r="163" customFormat="false" ht="15" hidden="false" customHeight="false" outlineLevel="0" collapsed="false">
      <c r="A163" s="2" t="s">
        <v>701</v>
      </c>
      <c r="B163" s="2" t="s">
        <v>379</v>
      </c>
      <c r="C163" s="2" t="s">
        <v>379</v>
      </c>
      <c r="D163" s="2" t="s">
        <v>48</v>
      </c>
      <c r="E163" s="2" t="s">
        <v>702</v>
      </c>
      <c r="F163" s="2" t="s">
        <v>703</v>
      </c>
      <c r="G163" s="2" t="s">
        <v>257</v>
      </c>
      <c r="H163" s="2" t="n">
        <v>7.175</v>
      </c>
      <c r="I163" s="2" t="n">
        <v>1950</v>
      </c>
      <c r="J163" s="2" t="n">
        <v>6.905</v>
      </c>
      <c r="K163" s="2" t="n">
        <v>0.2555</v>
      </c>
      <c r="L163" s="2" t="n">
        <v>6680</v>
      </c>
      <c r="M163" s="2" t="n">
        <v>90</v>
      </c>
      <c r="N163" s="2" t="n">
        <v>64</v>
      </c>
      <c r="O163" s="2" t="n">
        <v>32</v>
      </c>
      <c r="P163" s="2" t="s">
        <v>704</v>
      </c>
      <c r="Q163" s="2" t="s">
        <v>71</v>
      </c>
      <c r="R163" s="2" t="s">
        <v>700</v>
      </c>
      <c r="S163" s="2"/>
      <c r="T163" s="2"/>
      <c r="U163" s="2"/>
      <c r="V163" s="2" t="s">
        <v>43</v>
      </c>
    </row>
    <row r="164" customFormat="false" ht="15" hidden="false" customHeight="false" outlineLevel="0" collapsed="false">
      <c r="A164" s="2" t="s">
        <v>701</v>
      </c>
      <c r="B164" s="2" t="s">
        <v>380</v>
      </c>
      <c r="C164" s="2" t="s">
        <v>380</v>
      </c>
      <c r="D164" s="2" t="s">
        <v>39</v>
      </c>
      <c r="E164" s="2" t="s">
        <v>705</v>
      </c>
      <c r="F164" s="2" t="s">
        <v>703</v>
      </c>
      <c r="G164" s="2" t="s">
        <v>257</v>
      </c>
      <c r="H164" s="2" t="n">
        <v>7.18</v>
      </c>
      <c r="I164" s="2" t="n">
        <v>1950</v>
      </c>
      <c r="J164" s="2" t="n">
        <v>6.878</v>
      </c>
      <c r="K164" s="2" t="n">
        <v>0.233</v>
      </c>
      <c r="L164" s="2" t="n">
        <v>6657</v>
      </c>
      <c r="M164" s="2" t="n">
        <v>70</v>
      </c>
      <c r="N164" s="2" t="n">
        <v>64</v>
      </c>
      <c r="O164" s="2" t="n">
        <v>32</v>
      </c>
      <c r="P164" s="2" t="s">
        <v>704</v>
      </c>
      <c r="Q164" s="2" t="s">
        <v>71</v>
      </c>
      <c r="R164" s="2" t="s">
        <v>700</v>
      </c>
      <c r="S164" s="2"/>
      <c r="T164" s="2"/>
      <c r="U164" s="2"/>
      <c r="V164" s="2" t="s">
        <v>43</v>
      </c>
    </row>
    <row r="165" customFormat="false" ht="15" hidden="false" customHeight="false" outlineLevel="0" collapsed="false">
      <c r="A165" s="2" t="s">
        <v>701</v>
      </c>
      <c r="B165" s="2" t="s">
        <v>382</v>
      </c>
      <c r="C165" s="2" t="s">
        <v>382</v>
      </c>
      <c r="D165" s="2" t="s">
        <v>39</v>
      </c>
      <c r="E165" s="2" t="s">
        <v>705</v>
      </c>
      <c r="F165" s="2" t="s">
        <v>703</v>
      </c>
      <c r="G165" s="2" t="s">
        <v>257</v>
      </c>
      <c r="H165" s="2" t="n">
        <v>7.255</v>
      </c>
      <c r="I165" s="2" t="n">
        <v>1950</v>
      </c>
      <c r="J165" s="2" t="n">
        <v>6.959</v>
      </c>
      <c r="K165" s="2" t="n">
        <v>0.2055</v>
      </c>
      <c r="L165" s="2" t="n">
        <v>6726</v>
      </c>
      <c r="M165" s="2" t="n">
        <v>55</v>
      </c>
      <c r="N165" s="2" t="n">
        <v>64</v>
      </c>
      <c r="O165" s="2" t="n">
        <v>32</v>
      </c>
      <c r="P165" s="2" t="s">
        <v>704</v>
      </c>
      <c r="Q165" s="2" t="s">
        <v>71</v>
      </c>
      <c r="R165" s="2" t="s">
        <v>700</v>
      </c>
      <c r="S165" s="2"/>
      <c r="T165" s="2"/>
      <c r="U165" s="2"/>
      <c r="V165" s="2" t="s">
        <v>43</v>
      </c>
    </row>
    <row r="166" customFormat="false" ht="15" hidden="false" customHeight="false" outlineLevel="0" collapsed="false">
      <c r="A166" s="2" t="s">
        <v>701</v>
      </c>
      <c r="B166" s="2" t="s">
        <v>384</v>
      </c>
      <c r="C166" s="2" t="s">
        <v>384</v>
      </c>
      <c r="D166" s="2" t="s">
        <v>48</v>
      </c>
      <c r="E166" s="2" t="s">
        <v>705</v>
      </c>
      <c r="F166" s="2" t="s">
        <v>703</v>
      </c>
      <c r="G166" s="2" t="s">
        <v>257</v>
      </c>
      <c r="H166" s="2" t="n">
        <v>7.275</v>
      </c>
      <c r="I166" s="2" t="n">
        <v>1950</v>
      </c>
      <c r="J166" s="2" t="n">
        <v>6.985</v>
      </c>
      <c r="K166" s="2" t="n">
        <v>0.188</v>
      </c>
      <c r="L166" s="2" t="n">
        <v>6748</v>
      </c>
      <c r="M166" s="2" t="n">
        <v>40</v>
      </c>
      <c r="N166" s="2" t="n">
        <v>64</v>
      </c>
      <c r="O166" s="2" t="n">
        <v>32</v>
      </c>
      <c r="P166" s="2" t="s">
        <v>704</v>
      </c>
      <c r="Q166" s="2" t="s">
        <v>71</v>
      </c>
      <c r="R166" s="2" t="s">
        <v>700</v>
      </c>
      <c r="S166" s="2"/>
      <c r="T166" s="2"/>
      <c r="U166" s="2"/>
      <c r="V166" s="2" t="s">
        <v>43</v>
      </c>
    </row>
    <row r="167" customFormat="false" ht="15" hidden="false" customHeight="false" outlineLevel="0" collapsed="false">
      <c r="A167" s="2" t="s">
        <v>701</v>
      </c>
      <c r="B167" s="2" t="s">
        <v>386</v>
      </c>
      <c r="C167" s="2" t="s">
        <v>386</v>
      </c>
      <c r="D167" s="2" t="s">
        <v>39</v>
      </c>
      <c r="E167" s="2" t="s">
        <v>705</v>
      </c>
      <c r="F167" s="2" t="s">
        <v>703</v>
      </c>
      <c r="G167" s="2" t="s">
        <v>257</v>
      </c>
      <c r="H167" s="2" t="n">
        <v>7.31</v>
      </c>
      <c r="I167" s="2" t="n">
        <v>1950</v>
      </c>
      <c r="J167" s="2" t="n">
        <v>7.025</v>
      </c>
      <c r="K167" s="2" t="n">
        <v>0.228</v>
      </c>
      <c r="L167" s="2" t="n">
        <v>6786</v>
      </c>
      <c r="M167" s="2" t="n">
        <v>75</v>
      </c>
      <c r="N167" s="2" t="n">
        <v>64</v>
      </c>
      <c r="O167" s="2" t="n">
        <v>32</v>
      </c>
      <c r="P167" s="2" t="s">
        <v>704</v>
      </c>
      <c r="Q167" s="2" t="s">
        <v>71</v>
      </c>
      <c r="R167" s="2" t="s">
        <v>700</v>
      </c>
      <c r="S167" s="2"/>
      <c r="T167" s="2"/>
      <c r="U167" s="2"/>
      <c r="V167" s="2" t="s">
        <v>43</v>
      </c>
    </row>
    <row r="168" customFormat="false" ht="15" hidden="false" customHeight="false" outlineLevel="0" collapsed="false">
      <c r="A168" s="2" t="s">
        <v>701</v>
      </c>
      <c r="B168" s="2" t="s">
        <v>388</v>
      </c>
      <c r="C168" s="2" t="s">
        <v>388</v>
      </c>
      <c r="D168" s="2" t="s">
        <v>48</v>
      </c>
      <c r="E168" s="2" t="s">
        <v>705</v>
      </c>
      <c r="F168" s="2" t="s">
        <v>703</v>
      </c>
      <c r="G168" s="2" t="s">
        <v>257</v>
      </c>
      <c r="H168" s="2" t="n">
        <v>7.335</v>
      </c>
      <c r="I168" s="2" t="n">
        <v>1950</v>
      </c>
      <c r="J168" s="2" t="n">
        <v>7.057</v>
      </c>
      <c r="K168" s="2" t="n">
        <v>0.233</v>
      </c>
      <c r="L168" s="2" t="n">
        <v>6817</v>
      </c>
      <c r="M168" s="2" t="n">
        <v>80</v>
      </c>
      <c r="N168" s="2" t="n">
        <v>64</v>
      </c>
      <c r="O168" s="2" t="n">
        <v>32</v>
      </c>
      <c r="P168" s="2" t="s">
        <v>704</v>
      </c>
      <c r="Q168" s="2" t="s">
        <v>71</v>
      </c>
      <c r="R168" s="2" t="s">
        <v>700</v>
      </c>
      <c r="S168" s="2"/>
      <c r="T168" s="2"/>
      <c r="U168" s="2"/>
      <c r="V168" s="2" t="s">
        <v>43</v>
      </c>
    </row>
    <row r="169" customFormat="false" ht="15" hidden="false" customHeight="false" outlineLevel="0" collapsed="false">
      <c r="A169" s="2" t="s">
        <v>701</v>
      </c>
      <c r="B169" s="2" t="s">
        <v>390</v>
      </c>
      <c r="C169" s="2" t="s">
        <v>390</v>
      </c>
      <c r="D169" s="2" t="s">
        <v>39</v>
      </c>
      <c r="E169" s="2" t="s">
        <v>705</v>
      </c>
      <c r="F169" s="2" t="s">
        <v>703</v>
      </c>
      <c r="G169" s="2" t="s">
        <v>257</v>
      </c>
      <c r="H169" s="2" t="n">
        <v>7.375</v>
      </c>
      <c r="I169" s="2" t="n">
        <v>1950</v>
      </c>
      <c r="J169" s="2" t="n">
        <v>7.108</v>
      </c>
      <c r="K169" s="2" t="n">
        <v>0.2545</v>
      </c>
      <c r="L169" s="2" t="n">
        <v>6867</v>
      </c>
      <c r="M169" s="2" t="n">
        <v>95</v>
      </c>
      <c r="N169" s="2" t="n">
        <v>64</v>
      </c>
      <c r="O169" s="2" t="n">
        <v>32</v>
      </c>
      <c r="P169" s="2" t="s">
        <v>704</v>
      </c>
      <c r="Q169" s="2" t="s">
        <v>71</v>
      </c>
      <c r="R169" s="2" t="s">
        <v>700</v>
      </c>
      <c r="S169" s="2"/>
      <c r="T169" s="2"/>
      <c r="U169" s="2"/>
      <c r="V169" s="2" t="s">
        <v>43</v>
      </c>
    </row>
    <row r="170" customFormat="false" ht="15" hidden="false" customHeight="false" outlineLevel="0" collapsed="false">
      <c r="A170" s="2" t="s">
        <v>701</v>
      </c>
      <c r="B170" s="2" t="s">
        <v>392</v>
      </c>
      <c r="C170" s="2" t="s">
        <v>392</v>
      </c>
      <c r="D170" s="2" t="s">
        <v>39</v>
      </c>
      <c r="E170" s="2" t="s">
        <v>705</v>
      </c>
      <c r="F170" s="2" t="s">
        <v>703</v>
      </c>
      <c r="G170" s="2" t="s">
        <v>393</v>
      </c>
      <c r="H170" s="2" t="n">
        <v>7.427</v>
      </c>
      <c r="I170" s="2" t="n">
        <v>1950</v>
      </c>
      <c r="J170" s="2" t="n">
        <v>7.427</v>
      </c>
      <c r="K170" s="2" t="n">
        <v>0.07</v>
      </c>
      <c r="L170" s="2"/>
      <c r="M170" s="2"/>
      <c r="N170" s="2"/>
      <c r="O170" s="2"/>
      <c r="P170" s="2"/>
      <c r="Q170" s="2" t="s">
        <v>71</v>
      </c>
      <c r="R170" s="2" t="s">
        <v>700</v>
      </c>
      <c r="S170" s="2"/>
      <c r="T170" s="2"/>
      <c r="U170" s="2"/>
      <c r="V170" s="2" t="s">
        <v>43</v>
      </c>
    </row>
    <row r="171" customFormat="false" ht="15" hidden="false" customHeight="false" outlineLevel="0" collapsed="false">
      <c r="A171" s="2" t="s">
        <v>701</v>
      </c>
      <c r="B171" s="2" t="s">
        <v>396</v>
      </c>
      <c r="C171" s="2" t="s">
        <v>396</v>
      </c>
      <c r="D171" s="2" t="s">
        <v>48</v>
      </c>
      <c r="E171" s="2" t="s">
        <v>705</v>
      </c>
      <c r="F171" s="2" t="s">
        <v>703</v>
      </c>
      <c r="G171" s="2" t="s">
        <v>257</v>
      </c>
      <c r="H171" s="2" t="n">
        <v>7.495</v>
      </c>
      <c r="I171" s="2" t="n">
        <v>1950</v>
      </c>
      <c r="J171" s="2" t="n">
        <v>7.253</v>
      </c>
      <c r="K171" s="2" t="n">
        <v>0.231</v>
      </c>
      <c r="L171" s="2" t="n">
        <v>7004</v>
      </c>
      <c r="M171" s="2" t="n">
        <v>90</v>
      </c>
      <c r="N171" s="2" t="n">
        <v>64</v>
      </c>
      <c r="O171" s="2" t="n">
        <v>32</v>
      </c>
      <c r="P171" s="2" t="s">
        <v>704</v>
      </c>
      <c r="Q171" s="2" t="s">
        <v>71</v>
      </c>
      <c r="R171" s="2" t="s">
        <v>700</v>
      </c>
      <c r="S171" s="2"/>
      <c r="T171" s="2"/>
      <c r="U171" s="2"/>
      <c r="V171" s="2" t="s">
        <v>43</v>
      </c>
    </row>
    <row r="172" customFormat="false" ht="15" hidden="false" customHeight="false" outlineLevel="0" collapsed="false">
      <c r="A172" s="2" t="s">
        <v>701</v>
      </c>
      <c r="B172" s="2" t="s">
        <v>398</v>
      </c>
      <c r="C172" s="2" t="s">
        <v>398</v>
      </c>
      <c r="D172" s="2" t="s">
        <v>48</v>
      </c>
      <c r="E172" s="2" t="s">
        <v>702</v>
      </c>
      <c r="F172" s="2" t="s">
        <v>703</v>
      </c>
      <c r="G172" s="2" t="s">
        <v>257</v>
      </c>
      <c r="H172" s="2" t="n">
        <v>7.51</v>
      </c>
      <c r="I172" s="2" t="n">
        <v>1950</v>
      </c>
      <c r="J172" s="2" t="n">
        <v>7.313</v>
      </c>
      <c r="K172" s="2" t="n">
        <v>0.272</v>
      </c>
      <c r="L172" s="2" t="n">
        <v>7070</v>
      </c>
      <c r="M172" s="2" t="n">
        <v>120</v>
      </c>
      <c r="N172" s="2" t="n">
        <v>64</v>
      </c>
      <c r="O172" s="2" t="n">
        <v>32</v>
      </c>
      <c r="P172" s="2" t="s">
        <v>704</v>
      </c>
      <c r="Q172" s="2" t="s">
        <v>71</v>
      </c>
      <c r="R172" s="2" t="s">
        <v>700</v>
      </c>
      <c r="S172" s="2"/>
      <c r="T172" s="2"/>
      <c r="U172" s="2"/>
      <c r="V172" s="2" t="s">
        <v>43</v>
      </c>
    </row>
    <row r="173" customFormat="false" ht="15" hidden="false" customHeight="false" outlineLevel="0" collapsed="false">
      <c r="A173" s="2" t="s">
        <v>701</v>
      </c>
      <c r="B173" s="2" t="s">
        <v>399</v>
      </c>
      <c r="C173" s="2" t="s">
        <v>399</v>
      </c>
      <c r="D173" s="2" t="s">
        <v>39</v>
      </c>
      <c r="E173" s="2" t="s">
        <v>705</v>
      </c>
      <c r="F173" s="2" t="s">
        <v>703</v>
      </c>
      <c r="G173" s="2" t="s">
        <v>393</v>
      </c>
      <c r="H173" s="2" t="n">
        <v>7.563</v>
      </c>
      <c r="I173" s="2" t="n">
        <v>1950</v>
      </c>
      <c r="J173" s="2" t="n">
        <v>7.563</v>
      </c>
      <c r="K173" s="2" t="n">
        <v>0.097</v>
      </c>
      <c r="L173" s="2"/>
      <c r="M173" s="2"/>
      <c r="N173" s="2"/>
      <c r="O173" s="2"/>
      <c r="P173" s="2"/>
      <c r="Q173" s="2" t="s">
        <v>71</v>
      </c>
      <c r="R173" s="2" t="s">
        <v>700</v>
      </c>
      <c r="S173" s="2"/>
      <c r="T173" s="2"/>
      <c r="U173" s="2"/>
      <c r="V173" s="2" t="s">
        <v>43</v>
      </c>
    </row>
    <row r="174" customFormat="false" ht="15" hidden="false" customHeight="false" outlineLevel="0" collapsed="false">
      <c r="A174" s="2" t="s">
        <v>701</v>
      </c>
      <c r="B174" s="2" t="s">
        <v>401</v>
      </c>
      <c r="C174" s="2" t="s">
        <v>401</v>
      </c>
      <c r="D174" s="2" t="s">
        <v>39</v>
      </c>
      <c r="E174" s="2" t="s">
        <v>705</v>
      </c>
      <c r="F174" s="2" t="s">
        <v>703</v>
      </c>
      <c r="G174" s="2" t="s">
        <v>257</v>
      </c>
      <c r="H174" s="2" t="n">
        <v>7.65</v>
      </c>
      <c r="I174" s="2" t="n">
        <v>1950</v>
      </c>
      <c r="J174" s="2" t="n">
        <v>7.428</v>
      </c>
      <c r="K174" s="2" t="n">
        <v>0.1795</v>
      </c>
      <c r="L174" s="2" t="n">
        <v>7191</v>
      </c>
      <c r="M174" s="2" t="n">
        <v>70</v>
      </c>
      <c r="N174" s="2" t="n">
        <v>64</v>
      </c>
      <c r="O174" s="2" t="n">
        <v>32</v>
      </c>
      <c r="P174" s="2" t="s">
        <v>704</v>
      </c>
      <c r="Q174" s="2" t="s">
        <v>71</v>
      </c>
      <c r="R174" s="2" t="s">
        <v>700</v>
      </c>
      <c r="S174" s="2"/>
      <c r="T174" s="2"/>
      <c r="U174" s="2"/>
      <c r="V174" s="2" t="s">
        <v>43</v>
      </c>
    </row>
    <row r="175" customFormat="false" ht="15" hidden="false" customHeight="false" outlineLevel="0" collapsed="false">
      <c r="A175" s="2" t="s">
        <v>701</v>
      </c>
      <c r="B175" s="2" t="s">
        <v>403</v>
      </c>
      <c r="C175" s="2" t="s">
        <v>403</v>
      </c>
      <c r="D175" s="2" t="s">
        <v>39</v>
      </c>
      <c r="E175" s="2" t="s">
        <v>702</v>
      </c>
      <c r="F175" s="2" t="s">
        <v>703</v>
      </c>
      <c r="G175" s="2" t="s">
        <v>257</v>
      </c>
      <c r="H175" s="2" t="n">
        <v>7.67</v>
      </c>
      <c r="I175" s="2" t="n">
        <v>1950</v>
      </c>
      <c r="J175" s="2" t="n">
        <v>7.499</v>
      </c>
      <c r="K175" s="2" t="n">
        <v>0.2115</v>
      </c>
      <c r="L175" s="2" t="n">
        <v>7270</v>
      </c>
      <c r="M175" s="2" t="n">
        <v>90</v>
      </c>
      <c r="N175" s="2" t="n">
        <v>64</v>
      </c>
      <c r="O175" s="2" t="n">
        <v>32</v>
      </c>
      <c r="P175" s="2" t="s">
        <v>704</v>
      </c>
      <c r="Q175" s="2" t="s">
        <v>71</v>
      </c>
      <c r="R175" s="2" t="s">
        <v>700</v>
      </c>
      <c r="S175" s="2"/>
      <c r="T175" s="2"/>
      <c r="U175" s="2"/>
      <c r="V175" s="2" t="s">
        <v>43</v>
      </c>
    </row>
    <row r="176" customFormat="false" ht="15" hidden="false" customHeight="false" outlineLevel="0" collapsed="false">
      <c r="A176" s="2" t="s">
        <v>701</v>
      </c>
      <c r="B176" s="2" t="s">
        <v>403</v>
      </c>
      <c r="C176" s="2" t="s">
        <v>403</v>
      </c>
      <c r="D176" s="2" t="s">
        <v>39</v>
      </c>
      <c r="E176" s="2" t="s">
        <v>702</v>
      </c>
      <c r="F176" s="2" t="s">
        <v>703</v>
      </c>
      <c r="G176" s="2" t="s">
        <v>257</v>
      </c>
      <c r="H176" s="2" t="n">
        <v>7.67</v>
      </c>
      <c r="I176" s="2" t="n">
        <v>1950</v>
      </c>
      <c r="J176" s="2" t="n">
        <v>7.499</v>
      </c>
      <c r="K176" s="2" t="n">
        <v>0.2115</v>
      </c>
      <c r="L176" s="2" t="n">
        <v>7270</v>
      </c>
      <c r="M176" s="2" t="n">
        <v>90</v>
      </c>
      <c r="N176" s="2" t="n">
        <v>64</v>
      </c>
      <c r="O176" s="2" t="n">
        <v>32</v>
      </c>
      <c r="P176" s="2" t="s">
        <v>704</v>
      </c>
      <c r="Q176" s="2" t="s">
        <v>43</v>
      </c>
      <c r="R176" s="2" t="s">
        <v>700</v>
      </c>
      <c r="S176" s="2"/>
      <c r="T176" s="2"/>
      <c r="U176" s="2"/>
      <c r="V176" s="2" t="s">
        <v>43</v>
      </c>
    </row>
    <row r="177" customFormat="false" ht="15" hidden="false" customHeight="false" outlineLevel="0" collapsed="false">
      <c r="A177" s="2" t="s">
        <v>701</v>
      </c>
      <c r="B177" s="2" t="s">
        <v>404</v>
      </c>
      <c r="C177" s="2" t="s">
        <v>404</v>
      </c>
      <c r="D177" s="2" t="s">
        <v>39</v>
      </c>
      <c r="E177" s="2" t="s">
        <v>705</v>
      </c>
      <c r="F177" s="2" t="s">
        <v>703</v>
      </c>
      <c r="G177" s="2" t="s">
        <v>393</v>
      </c>
      <c r="H177" s="2" t="n">
        <v>7.688</v>
      </c>
      <c r="I177" s="2" t="n">
        <v>1950</v>
      </c>
      <c r="J177" s="2" t="n">
        <v>7.688</v>
      </c>
      <c r="K177" s="2" t="n">
        <v>0.039</v>
      </c>
      <c r="L177" s="2"/>
      <c r="M177" s="2"/>
      <c r="N177" s="2"/>
      <c r="O177" s="2"/>
      <c r="P177" s="2"/>
      <c r="Q177" s="2" t="s">
        <v>71</v>
      </c>
      <c r="R177" s="2" t="s">
        <v>700</v>
      </c>
      <c r="S177" s="2"/>
      <c r="T177" s="2"/>
      <c r="U177" s="2"/>
      <c r="V177" s="2" t="s">
        <v>43</v>
      </c>
    </row>
    <row r="178" customFormat="false" ht="15" hidden="false" customHeight="false" outlineLevel="0" collapsed="false">
      <c r="A178" s="2" t="s">
        <v>701</v>
      </c>
      <c r="B178" s="2" t="s">
        <v>406</v>
      </c>
      <c r="C178" s="2" t="s">
        <v>406</v>
      </c>
      <c r="D178" s="2" t="s">
        <v>39</v>
      </c>
      <c r="E178" s="2" t="s">
        <v>705</v>
      </c>
      <c r="F178" s="2" t="s">
        <v>703</v>
      </c>
      <c r="G178" s="2" t="s">
        <v>257</v>
      </c>
      <c r="H178" s="2" t="n">
        <v>7.71</v>
      </c>
      <c r="I178" s="2" t="n">
        <v>1950</v>
      </c>
      <c r="J178" s="2" t="n">
        <v>7.483</v>
      </c>
      <c r="K178" s="2" t="n">
        <v>0.209</v>
      </c>
      <c r="L178" s="2" t="n">
        <v>7252</v>
      </c>
      <c r="M178" s="2" t="n">
        <v>90</v>
      </c>
      <c r="N178" s="2" t="n">
        <v>64</v>
      </c>
      <c r="O178" s="2" t="n">
        <v>32</v>
      </c>
      <c r="P178" s="2" t="s">
        <v>704</v>
      </c>
      <c r="Q178" s="2" t="s">
        <v>71</v>
      </c>
      <c r="R178" s="2" t="s">
        <v>700</v>
      </c>
      <c r="S178" s="2"/>
      <c r="T178" s="2"/>
      <c r="U178" s="2"/>
      <c r="V178" s="2" t="s">
        <v>43</v>
      </c>
    </row>
    <row r="179" customFormat="false" ht="15" hidden="false" customHeight="false" outlineLevel="0" collapsed="false">
      <c r="A179" s="2" t="s">
        <v>701</v>
      </c>
      <c r="B179" s="2" t="s">
        <v>408</v>
      </c>
      <c r="C179" s="2" t="s">
        <v>408</v>
      </c>
      <c r="D179" s="2" t="s">
        <v>39</v>
      </c>
      <c r="E179" s="2" t="s">
        <v>702</v>
      </c>
      <c r="F179" s="2" t="s">
        <v>703</v>
      </c>
      <c r="G179" s="2" t="s">
        <v>257</v>
      </c>
      <c r="H179" s="2" t="n">
        <v>7.757</v>
      </c>
      <c r="I179" s="2" t="n">
        <v>1950</v>
      </c>
      <c r="J179" s="2" t="n">
        <v>7.582</v>
      </c>
      <c r="K179" s="2" t="n">
        <v>0.201</v>
      </c>
      <c r="L179" s="2" t="n">
        <v>7360</v>
      </c>
      <c r="M179" s="2" t="n">
        <v>80</v>
      </c>
      <c r="N179" s="2" t="n">
        <v>64</v>
      </c>
      <c r="O179" s="2" t="n">
        <v>32</v>
      </c>
      <c r="P179" s="2" t="s">
        <v>704</v>
      </c>
      <c r="Q179" s="2" t="s">
        <v>71</v>
      </c>
      <c r="R179" s="2" t="s">
        <v>700</v>
      </c>
      <c r="S179" s="2"/>
      <c r="T179" s="2"/>
      <c r="U179" s="2"/>
      <c r="V179" s="2" t="s">
        <v>43</v>
      </c>
    </row>
    <row r="180" customFormat="false" ht="15" hidden="false" customHeight="false" outlineLevel="0" collapsed="false">
      <c r="A180" s="2" t="s">
        <v>701</v>
      </c>
      <c r="B180" s="2" t="s">
        <v>408</v>
      </c>
      <c r="C180" s="2" t="s">
        <v>408</v>
      </c>
      <c r="D180" s="2" t="s">
        <v>39</v>
      </c>
      <c r="E180" s="2" t="s">
        <v>702</v>
      </c>
      <c r="F180" s="2" t="s">
        <v>703</v>
      </c>
      <c r="G180" s="2" t="s">
        <v>257</v>
      </c>
      <c r="H180" s="2" t="n">
        <v>7.77</v>
      </c>
      <c r="I180" s="2" t="n">
        <v>1950</v>
      </c>
      <c r="J180" s="2" t="n">
        <v>7.582</v>
      </c>
      <c r="K180" s="2" t="n">
        <v>0.201</v>
      </c>
      <c r="L180" s="2" t="n">
        <v>7360</v>
      </c>
      <c r="M180" s="2" t="n">
        <v>80</v>
      </c>
      <c r="N180" s="2" t="n">
        <v>64</v>
      </c>
      <c r="O180" s="2" t="n">
        <v>32</v>
      </c>
      <c r="P180" s="2" t="s">
        <v>704</v>
      </c>
      <c r="Q180" s="2" t="s">
        <v>43</v>
      </c>
      <c r="R180" s="2" t="s">
        <v>700</v>
      </c>
      <c r="S180" s="2"/>
      <c r="T180" s="2"/>
      <c r="U180" s="2"/>
      <c r="V180" s="2" t="s">
        <v>43</v>
      </c>
    </row>
    <row r="181" customFormat="false" ht="15" hidden="false" customHeight="false" outlineLevel="0" collapsed="false">
      <c r="A181" s="2" t="s">
        <v>701</v>
      </c>
      <c r="B181" s="2" t="s">
        <v>409</v>
      </c>
      <c r="C181" s="2" t="s">
        <v>409</v>
      </c>
      <c r="D181" s="2" t="s">
        <v>39</v>
      </c>
      <c r="E181" s="2" t="s">
        <v>705</v>
      </c>
      <c r="F181" s="2" t="s">
        <v>703</v>
      </c>
      <c r="G181" s="2" t="s">
        <v>257</v>
      </c>
      <c r="H181" s="2" t="n">
        <v>7.825</v>
      </c>
      <c r="I181" s="2" t="n">
        <v>1950</v>
      </c>
      <c r="J181" s="2" t="n">
        <v>7.593</v>
      </c>
      <c r="K181" s="2" t="n">
        <v>0.169</v>
      </c>
      <c r="L181" s="2" t="n">
        <v>7374</v>
      </c>
      <c r="M181" s="2" t="n">
        <v>55</v>
      </c>
      <c r="N181" s="2" t="n">
        <v>64</v>
      </c>
      <c r="O181" s="2" t="n">
        <v>32</v>
      </c>
      <c r="P181" s="2" t="s">
        <v>704</v>
      </c>
      <c r="Q181" s="2" t="s">
        <v>71</v>
      </c>
      <c r="R181" s="2" t="s">
        <v>700</v>
      </c>
      <c r="S181" s="2"/>
      <c r="T181" s="2"/>
      <c r="U181" s="2"/>
      <c r="V181" s="2" t="s">
        <v>43</v>
      </c>
    </row>
    <row r="182" customFormat="false" ht="15" hidden="false" customHeight="false" outlineLevel="0" collapsed="false">
      <c r="A182" s="2" t="s">
        <v>701</v>
      </c>
      <c r="B182" s="2" t="s">
        <v>411</v>
      </c>
      <c r="C182" s="2" t="s">
        <v>411</v>
      </c>
      <c r="D182" s="2" t="s">
        <v>48</v>
      </c>
      <c r="E182" s="2" t="s">
        <v>705</v>
      </c>
      <c r="F182" s="2" t="s">
        <v>703</v>
      </c>
      <c r="G182" s="2" t="s">
        <v>257</v>
      </c>
      <c r="H182" s="2" t="n">
        <v>7.86</v>
      </c>
      <c r="I182" s="2" t="n">
        <v>1950</v>
      </c>
      <c r="J182" s="2" t="n">
        <v>7.622</v>
      </c>
      <c r="K182" s="2" t="n">
        <v>0.157</v>
      </c>
      <c r="L182" s="2" t="n">
        <v>7406</v>
      </c>
      <c r="M182" s="2" t="n">
        <v>40</v>
      </c>
      <c r="N182" s="2" t="n">
        <v>64</v>
      </c>
      <c r="O182" s="2" t="n">
        <v>32</v>
      </c>
      <c r="P182" s="2" t="s">
        <v>704</v>
      </c>
      <c r="Q182" s="2" t="s">
        <v>71</v>
      </c>
      <c r="R182" s="2" t="s">
        <v>700</v>
      </c>
      <c r="S182" s="2"/>
      <c r="T182" s="2"/>
      <c r="U182" s="2"/>
      <c r="V182" s="2" t="s">
        <v>43</v>
      </c>
    </row>
    <row r="183" customFormat="false" ht="15" hidden="false" customHeight="false" outlineLevel="0" collapsed="false">
      <c r="A183" s="2" t="s">
        <v>701</v>
      </c>
      <c r="B183" s="2" t="s">
        <v>413</v>
      </c>
      <c r="C183" s="2" t="s">
        <v>413</v>
      </c>
      <c r="D183" s="2" t="s">
        <v>48</v>
      </c>
      <c r="E183" s="2" t="s">
        <v>705</v>
      </c>
      <c r="F183" s="2" t="s">
        <v>703</v>
      </c>
      <c r="G183" s="2" t="s">
        <v>257</v>
      </c>
      <c r="H183" s="2" t="n">
        <v>8</v>
      </c>
      <c r="I183" s="2" t="n">
        <v>1950</v>
      </c>
      <c r="J183" s="2" t="n">
        <v>7.763</v>
      </c>
      <c r="K183" s="2" t="n">
        <v>0.17</v>
      </c>
      <c r="L183" s="2" t="n">
        <v>7551</v>
      </c>
      <c r="M183" s="2" t="n">
        <v>55</v>
      </c>
      <c r="N183" s="2" t="n">
        <v>64</v>
      </c>
      <c r="O183" s="2" t="n">
        <v>32</v>
      </c>
      <c r="P183" s="2" t="s">
        <v>704</v>
      </c>
      <c r="Q183" s="2" t="s">
        <v>71</v>
      </c>
      <c r="R183" s="2" t="s">
        <v>700</v>
      </c>
      <c r="S183" s="2"/>
      <c r="T183" s="2"/>
      <c r="U183" s="2"/>
      <c r="V183" s="2" t="s">
        <v>43</v>
      </c>
    </row>
    <row r="184" customFormat="false" ht="15" hidden="false" customHeight="false" outlineLevel="0" collapsed="false">
      <c r="A184" s="2" t="s">
        <v>701</v>
      </c>
      <c r="B184" s="2" t="s">
        <v>415</v>
      </c>
      <c r="C184" s="2" t="s">
        <v>415</v>
      </c>
      <c r="D184" s="2" t="s">
        <v>48</v>
      </c>
      <c r="E184" s="2" t="s">
        <v>705</v>
      </c>
      <c r="F184" s="2" t="s">
        <v>703</v>
      </c>
      <c r="G184" s="2" t="s">
        <v>257</v>
      </c>
      <c r="H184" s="2" t="n">
        <v>8.06</v>
      </c>
      <c r="I184" s="2" t="n">
        <v>1950</v>
      </c>
      <c r="J184" s="2" t="n">
        <v>7.82</v>
      </c>
      <c r="K184" s="2" t="n">
        <v>0.183</v>
      </c>
      <c r="L184" s="2" t="n">
        <v>7610</v>
      </c>
      <c r="M184" s="2" t="n">
        <v>65</v>
      </c>
      <c r="N184" s="2" t="n">
        <v>64</v>
      </c>
      <c r="O184" s="2" t="n">
        <v>32</v>
      </c>
      <c r="P184" s="2" t="s">
        <v>704</v>
      </c>
      <c r="Q184" s="2" t="s">
        <v>71</v>
      </c>
      <c r="R184" s="2" t="s">
        <v>700</v>
      </c>
      <c r="S184" s="2"/>
      <c r="T184" s="2"/>
      <c r="U184" s="2"/>
      <c r="V184" s="2" t="s">
        <v>43</v>
      </c>
    </row>
    <row r="185" customFormat="false" ht="15" hidden="false" customHeight="false" outlineLevel="0" collapsed="false">
      <c r="A185" s="2" t="s">
        <v>701</v>
      </c>
      <c r="B185" s="2" t="s">
        <v>417</v>
      </c>
      <c r="C185" s="2" t="s">
        <v>417</v>
      </c>
      <c r="D185" s="2" t="s">
        <v>39</v>
      </c>
      <c r="E185" s="2" t="s">
        <v>705</v>
      </c>
      <c r="F185" s="2" t="s">
        <v>703</v>
      </c>
      <c r="G185" s="2" t="s">
        <v>393</v>
      </c>
      <c r="H185" s="2" t="n">
        <v>8.076</v>
      </c>
      <c r="I185" s="2" t="n">
        <v>1950</v>
      </c>
      <c r="J185" s="2" t="n">
        <v>8.076</v>
      </c>
      <c r="K185" s="2" t="n">
        <v>0.08</v>
      </c>
      <c r="L185" s="2"/>
      <c r="M185" s="2"/>
      <c r="N185" s="2"/>
      <c r="O185" s="2"/>
      <c r="P185" s="2"/>
      <c r="Q185" s="2" t="s">
        <v>71</v>
      </c>
      <c r="R185" s="2" t="s">
        <v>700</v>
      </c>
      <c r="S185" s="2"/>
      <c r="T185" s="2"/>
      <c r="U185" s="2"/>
      <c r="V185" s="2" t="s">
        <v>43</v>
      </c>
    </row>
    <row r="186" customFormat="false" ht="15" hidden="false" customHeight="false" outlineLevel="0" collapsed="false">
      <c r="A186" s="2" t="s">
        <v>701</v>
      </c>
      <c r="B186" s="2" t="s">
        <v>419</v>
      </c>
      <c r="C186" s="2" t="s">
        <v>419</v>
      </c>
      <c r="D186" s="2" t="s">
        <v>39</v>
      </c>
      <c r="E186" s="2" t="s">
        <v>705</v>
      </c>
      <c r="F186" s="2" t="s">
        <v>703</v>
      </c>
      <c r="G186" s="2" t="s">
        <v>257</v>
      </c>
      <c r="H186" s="2" t="n">
        <v>8.105</v>
      </c>
      <c r="I186" s="2" t="n">
        <v>1950</v>
      </c>
      <c r="J186" s="2" t="n">
        <v>7.865</v>
      </c>
      <c r="K186" s="2" t="n">
        <v>0.24</v>
      </c>
      <c r="L186" s="2" t="n">
        <v>7655</v>
      </c>
      <c r="M186" s="2" t="n">
        <v>95</v>
      </c>
      <c r="N186" s="2" t="n">
        <v>64</v>
      </c>
      <c r="O186" s="2" t="n">
        <v>32</v>
      </c>
      <c r="P186" s="2" t="s">
        <v>704</v>
      </c>
      <c r="Q186" s="2" t="s">
        <v>71</v>
      </c>
      <c r="R186" s="2" t="s">
        <v>700</v>
      </c>
      <c r="S186" s="2"/>
      <c r="T186" s="2"/>
      <c r="U186" s="2"/>
      <c r="V186" s="2" t="s">
        <v>43</v>
      </c>
    </row>
    <row r="187" customFormat="false" ht="15" hidden="false" customHeight="false" outlineLevel="0" collapsed="false">
      <c r="A187" s="2" t="s">
        <v>701</v>
      </c>
      <c r="B187" s="2" t="s">
        <v>421</v>
      </c>
      <c r="C187" s="2" t="s">
        <v>421</v>
      </c>
      <c r="D187" s="2" t="s">
        <v>48</v>
      </c>
      <c r="E187" s="2" t="s">
        <v>705</v>
      </c>
      <c r="F187" s="2" t="s">
        <v>703</v>
      </c>
      <c r="G187" s="2" t="s">
        <v>257</v>
      </c>
      <c r="H187" s="2" t="n">
        <v>8.765</v>
      </c>
      <c r="I187" s="2" t="n">
        <v>1950</v>
      </c>
      <c r="J187" s="2" t="n">
        <v>8.531</v>
      </c>
      <c r="K187" s="2" t="n">
        <v>0.269</v>
      </c>
      <c r="L187" s="2" t="n">
        <v>8276</v>
      </c>
      <c r="M187" s="2" t="n">
        <v>85</v>
      </c>
      <c r="N187" s="2" t="n">
        <v>64</v>
      </c>
      <c r="O187" s="2" t="n">
        <v>32</v>
      </c>
      <c r="P187" s="2" t="s">
        <v>704</v>
      </c>
      <c r="Q187" s="2" t="s">
        <v>71</v>
      </c>
      <c r="R187" s="2" t="s">
        <v>700</v>
      </c>
      <c r="S187" s="2"/>
      <c r="T187" s="2"/>
      <c r="U187" s="2"/>
      <c r="V187" s="2" t="s">
        <v>43</v>
      </c>
    </row>
    <row r="188" customFormat="false" ht="15" hidden="false" customHeight="false" outlineLevel="0" collapsed="false">
      <c r="A188" s="2" t="s">
        <v>701</v>
      </c>
      <c r="B188" s="2" t="s">
        <v>423</v>
      </c>
      <c r="C188" s="2" t="s">
        <v>423</v>
      </c>
      <c r="D188" s="2" t="s">
        <v>39</v>
      </c>
      <c r="E188" s="2" t="s">
        <v>705</v>
      </c>
      <c r="F188" s="2" t="s">
        <v>703</v>
      </c>
      <c r="G188" s="2" t="s">
        <v>257</v>
      </c>
      <c r="H188" s="2" t="n">
        <v>8.89</v>
      </c>
      <c r="I188" s="2" t="n">
        <v>1950</v>
      </c>
      <c r="J188" s="2" t="n">
        <v>8.656</v>
      </c>
      <c r="K188" s="2" t="n">
        <v>0.2195</v>
      </c>
      <c r="L188" s="2" t="n">
        <v>8377</v>
      </c>
      <c r="M188" s="2" t="n">
        <v>40</v>
      </c>
      <c r="N188" s="2" t="n">
        <v>64</v>
      </c>
      <c r="O188" s="2" t="n">
        <v>32</v>
      </c>
      <c r="P188" s="2" t="s">
        <v>704</v>
      </c>
      <c r="Q188" s="2" t="s">
        <v>71</v>
      </c>
      <c r="R188" s="2" t="s">
        <v>700</v>
      </c>
      <c r="S188" s="2"/>
      <c r="T188" s="2"/>
      <c r="U188" s="2"/>
      <c r="V188" s="2" t="s">
        <v>43</v>
      </c>
    </row>
    <row r="189" customFormat="false" ht="15" hidden="false" customHeight="false" outlineLevel="0" collapsed="false">
      <c r="A189" s="2" t="s">
        <v>701</v>
      </c>
      <c r="B189" s="2" t="s">
        <v>425</v>
      </c>
      <c r="C189" s="2" t="s">
        <v>425</v>
      </c>
      <c r="D189" s="2" t="s">
        <v>39</v>
      </c>
      <c r="E189" s="2" t="s">
        <v>705</v>
      </c>
      <c r="F189" s="2" t="s">
        <v>703</v>
      </c>
      <c r="G189" s="2" t="s">
        <v>257</v>
      </c>
      <c r="H189" s="2" t="n">
        <v>10.29</v>
      </c>
      <c r="I189" s="2" t="n">
        <v>1950</v>
      </c>
      <c r="J189" s="2" t="n">
        <v>10.213</v>
      </c>
      <c r="K189" s="2" t="n">
        <v>0.1885</v>
      </c>
      <c r="L189" s="2" t="n">
        <v>9584</v>
      </c>
      <c r="M189" s="2" t="n">
        <v>30</v>
      </c>
      <c r="N189" s="2" t="n">
        <v>64</v>
      </c>
      <c r="O189" s="2" t="n">
        <v>32</v>
      </c>
      <c r="P189" s="2" t="s">
        <v>704</v>
      </c>
      <c r="Q189" s="2" t="s">
        <v>71</v>
      </c>
      <c r="R189" s="2" t="s">
        <v>700</v>
      </c>
      <c r="S189" s="2"/>
      <c r="T189" s="2"/>
      <c r="U189" s="2"/>
      <c r="V189" s="2" t="s">
        <v>43</v>
      </c>
    </row>
    <row r="190" customFormat="false" ht="15" hidden="false" customHeight="false" outlineLevel="0" collapsed="false">
      <c r="A190" s="2" t="s">
        <v>706</v>
      </c>
      <c r="B190" s="2" t="s">
        <v>707</v>
      </c>
      <c r="C190" s="2" t="s">
        <v>445</v>
      </c>
      <c r="D190" s="2" t="s">
        <v>39</v>
      </c>
      <c r="E190" s="2" t="s">
        <v>708</v>
      </c>
      <c r="F190" s="2" t="s">
        <v>708</v>
      </c>
      <c r="G190" s="2" t="s">
        <v>393</v>
      </c>
      <c r="H190" s="2" t="n">
        <v>0</v>
      </c>
      <c r="I190" s="2" t="n">
        <v>1950</v>
      </c>
      <c r="J190" s="2" t="n">
        <v>0</v>
      </c>
      <c r="K190" s="2" t="n">
        <v>0</v>
      </c>
      <c r="L190" s="2"/>
      <c r="M190" s="2"/>
      <c r="N190" s="2"/>
      <c r="O190" s="2"/>
      <c r="P190" s="2"/>
      <c r="Q190" s="2" t="s">
        <v>71</v>
      </c>
      <c r="R190" s="2" t="s">
        <v>700</v>
      </c>
      <c r="S190" s="2" t="n">
        <v>0</v>
      </c>
      <c r="T190" s="2"/>
      <c r="U190" s="2"/>
      <c r="V190" s="2" t="s">
        <v>71</v>
      </c>
    </row>
    <row r="191" customFormat="false" ht="15" hidden="false" customHeight="false" outlineLevel="0" collapsed="false">
      <c r="A191" s="2" t="s">
        <v>706</v>
      </c>
      <c r="B191" s="2" t="s">
        <v>709</v>
      </c>
      <c r="C191" s="2" t="s">
        <v>449</v>
      </c>
      <c r="D191" s="2" t="s">
        <v>450</v>
      </c>
      <c r="E191" s="2" t="s">
        <v>708</v>
      </c>
      <c r="F191" s="2" t="s">
        <v>708</v>
      </c>
      <c r="G191" s="2" t="s">
        <v>393</v>
      </c>
      <c r="H191" s="2" t="n">
        <v>0.083</v>
      </c>
      <c r="I191" s="2" t="n">
        <v>1950</v>
      </c>
      <c r="J191" s="2" t="n">
        <v>0.083</v>
      </c>
      <c r="K191" s="2" t="n">
        <v>0.004</v>
      </c>
      <c r="L191" s="2"/>
      <c r="M191" s="2"/>
      <c r="N191" s="2"/>
      <c r="O191" s="2"/>
      <c r="P191" s="2"/>
      <c r="Q191" s="2" t="s">
        <v>71</v>
      </c>
      <c r="R191" s="2" t="s">
        <v>700</v>
      </c>
      <c r="S191" s="2" t="n">
        <v>0.083</v>
      </c>
      <c r="T191" s="2"/>
      <c r="U191" s="2"/>
      <c r="V191" s="2" t="s">
        <v>43</v>
      </c>
    </row>
    <row r="192" customFormat="false" ht="15" hidden="false" customHeight="false" outlineLevel="0" collapsed="false">
      <c r="A192" s="2" t="s">
        <v>706</v>
      </c>
      <c r="B192" s="2" t="s">
        <v>710</v>
      </c>
      <c r="C192" s="2" t="s">
        <v>452</v>
      </c>
      <c r="D192" s="2" t="s">
        <v>39</v>
      </c>
      <c r="E192" s="2" t="s">
        <v>708</v>
      </c>
      <c r="F192" s="2" t="s">
        <v>708</v>
      </c>
      <c r="G192" s="2" t="s">
        <v>393</v>
      </c>
      <c r="H192" s="2" t="n">
        <v>0.087</v>
      </c>
      <c r="I192" s="2" t="n">
        <v>1950</v>
      </c>
      <c r="J192" s="2" t="n">
        <v>0.087</v>
      </c>
      <c r="K192" s="2" t="n">
        <v>0.008</v>
      </c>
      <c r="L192" s="2"/>
      <c r="M192" s="2"/>
      <c r="N192" s="2"/>
      <c r="O192" s="2"/>
      <c r="P192" s="2"/>
      <c r="Q192" s="2" t="s">
        <v>71</v>
      </c>
      <c r="R192" s="2" t="s">
        <v>700</v>
      </c>
      <c r="S192" s="2" t="n">
        <v>0.087</v>
      </c>
      <c r="T192" s="2"/>
      <c r="U192" s="2"/>
      <c r="V192" s="2" t="s">
        <v>71</v>
      </c>
    </row>
    <row r="193" customFormat="false" ht="15" hidden="false" customHeight="false" outlineLevel="0" collapsed="false">
      <c r="A193" s="2" t="s">
        <v>706</v>
      </c>
      <c r="B193" s="2" t="s">
        <v>711</v>
      </c>
      <c r="C193" s="2" t="s">
        <v>453</v>
      </c>
      <c r="D193" s="2" t="s">
        <v>39</v>
      </c>
      <c r="E193" s="2" t="s">
        <v>708</v>
      </c>
      <c r="F193" s="2" t="s">
        <v>708</v>
      </c>
      <c r="G193" s="2" t="s">
        <v>393</v>
      </c>
      <c r="H193" s="2" t="n">
        <v>0.099</v>
      </c>
      <c r="I193" s="2" t="n">
        <v>1950</v>
      </c>
      <c r="J193" s="2" t="n">
        <v>0.099</v>
      </c>
      <c r="K193" s="2" t="n">
        <v>0.002</v>
      </c>
      <c r="L193" s="2"/>
      <c r="M193" s="2"/>
      <c r="N193" s="2"/>
      <c r="O193" s="2"/>
      <c r="P193" s="2"/>
      <c r="Q193" s="2" t="s">
        <v>71</v>
      </c>
      <c r="R193" s="2" t="s">
        <v>700</v>
      </c>
      <c r="S193" s="2" t="n">
        <v>0.099</v>
      </c>
      <c r="T193" s="2"/>
      <c r="U193" s="2"/>
      <c r="V193" s="2" t="s">
        <v>71</v>
      </c>
    </row>
    <row r="194" customFormat="false" ht="15" hidden="false" customHeight="false" outlineLevel="0" collapsed="false">
      <c r="A194" s="2" t="s">
        <v>706</v>
      </c>
      <c r="B194" s="2" t="s">
        <v>712</v>
      </c>
      <c r="C194" s="2" t="s">
        <v>454</v>
      </c>
      <c r="D194" s="2" t="s">
        <v>39</v>
      </c>
      <c r="E194" s="2" t="s">
        <v>708</v>
      </c>
      <c r="F194" s="2" t="s">
        <v>708</v>
      </c>
      <c r="G194" s="2" t="s">
        <v>393</v>
      </c>
      <c r="H194" s="2" t="n">
        <v>0.119</v>
      </c>
      <c r="I194" s="2" t="n">
        <v>1950</v>
      </c>
      <c r="J194" s="2" t="n">
        <v>0.119</v>
      </c>
      <c r="K194" s="2" t="n">
        <v>0.005</v>
      </c>
      <c r="L194" s="2"/>
      <c r="M194" s="2"/>
      <c r="N194" s="2"/>
      <c r="O194" s="2"/>
      <c r="P194" s="2"/>
      <c r="Q194" s="2" t="s">
        <v>71</v>
      </c>
      <c r="R194" s="2" t="s">
        <v>700</v>
      </c>
      <c r="S194" s="2" t="n">
        <v>0.119</v>
      </c>
      <c r="T194" s="2"/>
      <c r="U194" s="2"/>
      <c r="V194" s="2" t="s">
        <v>71</v>
      </c>
    </row>
    <row r="195" customFormat="false" ht="15" hidden="false" customHeight="false" outlineLevel="0" collapsed="false">
      <c r="A195" s="2" t="s">
        <v>706</v>
      </c>
      <c r="B195" s="2" t="s">
        <v>713</v>
      </c>
      <c r="C195" s="2" t="s">
        <v>455</v>
      </c>
      <c r="D195" s="2" t="s">
        <v>39</v>
      </c>
      <c r="E195" s="2" t="s">
        <v>708</v>
      </c>
      <c r="F195" s="2" t="s">
        <v>708</v>
      </c>
      <c r="G195" s="2" t="s">
        <v>393</v>
      </c>
      <c r="H195" s="2" t="n">
        <v>0.12</v>
      </c>
      <c r="I195" s="2" t="n">
        <v>1950</v>
      </c>
      <c r="J195" s="2" t="n">
        <v>0.12</v>
      </c>
      <c r="K195" s="2" t="n">
        <v>0.007</v>
      </c>
      <c r="L195" s="2"/>
      <c r="M195" s="2"/>
      <c r="N195" s="2"/>
      <c r="O195" s="2"/>
      <c r="P195" s="2"/>
      <c r="Q195" s="2" t="s">
        <v>71</v>
      </c>
      <c r="R195" s="2" t="s">
        <v>700</v>
      </c>
      <c r="S195" s="2" t="n">
        <v>0.12</v>
      </c>
      <c r="T195" s="2"/>
      <c r="U195" s="2"/>
      <c r="V195" s="2" t="s">
        <v>71</v>
      </c>
    </row>
    <row r="196" customFormat="false" ht="15" hidden="false" customHeight="false" outlineLevel="0" collapsed="false">
      <c r="A196" s="2" t="s">
        <v>706</v>
      </c>
      <c r="B196" s="2" t="s">
        <v>714</v>
      </c>
      <c r="C196" s="2" t="s">
        <v>456</v>
      </c>
      <c r="D196" s="2" t="s">
        <v>39</v>
      </c>
      <c r="E196" s="2" t="s">
        <v>708</v>
      </c>
      <c r="F196" s="2" t="s">
        <v>708</v>
      </c>
      <c r="G196" s="2" t="s">
        <v>393</v>
      </c>
      <c r="H196" s="2" t="n">
        <v>0.122</v>
      </c>
      <c r="I196" s="2" t="n">
        <v>1950</v>
      </c>
      <c r="J196" s="2" t="n">
        <v>0.122</v>
      </c>
      <c r="K196" s="2" t="n">
        <v>0.002</v>
      </c>
      <c r="L196" s="2"/>
      <c r="M196" s="2"/>
      <c r="N196" s="2"/>
      <c r="O196" s="2"/>
      <c r="P196" s="2"/>
      <c r="Q196" s="2" t="s">
        <v>71</v>
      </c>
      <c r="R196" s="2" t="s">
        <v>700</v>
      </c>
      <c r="S196" s="2" t="n">
        <v>0.122</v>
      </c>
      <c r="T196" s="2"/>
      <c r="U196" s="2"/>
      <c r="V196" s="2" t="s">
        <v>71</v>
      </c>
    </row>
    <row r="197" customFormat="false" ht="15" hidden="false" customHeight="false" outlineLevel="0" collapsed="false">
      <c r="A197" s="2" t="s">
        <v>706</v>
      </c>
      <c r="B197" s="2" t="s">
        <v>715</v>
      </c>
      <c r="C197" s="2" t="s">
        <v>457</v>
      </c>
      <c r="D197" s="2" t="s">
        <v>39</v>
      </c>
      <c r="E197" s="2" t="s">
        <v>708</v>
      </c>
      <c r="F197" s="2" t="s">
        <v>708</v>
      </c>
      <c r="G197" s="2" t="s">
        <v>393</v>
      </c>
      <c r="H197" s="2" t="n">
        <v>0.137</v>
      </c>
      <c r="I197" s="2" t="n">
        <v>1950</v>
      </c>
      <c r="J197" s="2" t="n">
        <v>0.137</v>
      </c>
      <c r="K197" s="2" t="n">
        <v>0.001</v>
      </c>
      <c r="L197" s="2"/>
      <c r="M197" s="2"/>
      <c r="N197" s="2"/>
      <c r="O197" s="2"/>
      <c r="P197" s="2"/>
      <c r="Q197" s="2" t="s">
        <v>71</v>
      </c>
      <c r="R197" s="2" t="s">
        <v>700</v>
      </c>
      <c r="S197" s="2" t="n">
        <v>0.137</v>
      </c>
      <c r="T197" s="2"/>
      <c r="U197" s="2"/>
      <c r="V197" s="2" t="s">
        <v>71</v>
      </c>
    </row>
    <row r="198" customFormat="false" ht="15" hidden="false" customHeight="false" outlineLevel="0" collapsed="false">
      <c r="A198" s="2" t="s">
        <v>706</v>
      </c>
      <c r="B198" s="2" t="s">
        <v>716</v>
      </c>
      <c r="C198" s="2" t="s">
        <v>458</v>
      </c>
      <c r="D198" s="2" t="s">
        <v>450</v>
      </c>
      <c r="E198" s="2" t="s">
        <v>708</v>
      </c>
      <c r="F198" s="2" t="s">
        <v>708</v>
      </c>
      <c r="G198" s="2" t="s">
        <v>393</v>
      </c>
      <c r="H198" s="2" t="n">
        <v>0.147</v>
      </c>
      <c r="I198" s="2" t="n">
        <v>1950</v>
      </c>
      <c r="J198" s="2" t="n">
        <v>0.147</v>
      </c>
      <c r="K198" s="2" t="n">
        <v>0.008</v>
      </c>
      <c r="L198" s="2"/>
      <c r="M198" s="2"/>
      <c r="N198" s="2"/>
      <c r="O198" s="2"/>
      <c r="P198" s="2"/>
      <c r="Q198" s="2" t="s">
        <v>71</v>
      </c>
      <c r="R198" s="2" t="s">
        <v>700</v>
      </c>
      <c r="S198" s="2" t="n">
        <v>0.147</v>
      </c>
      <c r="T198" s="2"/>
      <c r="U198" s="2"/>
      <c r="V198" s="2" t="s">
        <v>43</v>
      </c>
    </row>
    <row r="199" customFormat="false" ht="15" hidden="false" customHeight="false" outlineLevel="0" collapsed="false">
      <c r="A199" s="2" t="s">
        <v>706</v>
      </c>
      <c r="B199" s="2" t="s">
        <v>717</v>
      </c>
      <c r="C199" s="2" t="s">
        <v>460</v>
      </c>
      <c r="D199" s="2" t="s">
        <v>39</v>
      </c>
      <c r="E199" s="2" t="s">
        <v>708</v>
      </c>
      <c r="F199" s="2" t="s">
        <v>708</v>
      </c>
      <c r="G199" s="2" t="s">
        <v>393</v>
      </c>
      <c r="H199" s="2" t="n">
        <v>0.336</v>
      </c>
      <c r="I199" s="2" t="n">
        <v>1950</v>
      </c>
      <c r="J199" s="2" t="n">
        <v>0.336</v>
      </c>
      <c r="K199" s="2" t="n">
        <v>0.004</v>
      </c>
      <c r="L199" s="2"/>
      <c r="M199" s="2"/>
      <c r="N199" s="2"/>
      <c r="O199" s="2"/>
      <c r="P199" s="2"/>
      <c r="Q199" s="2" t="s">
        <v>71</v>
      </c>
      <c r="R199" s="2" t="s">
        <v>700</v>
      </c>
      <c r="S199" s="2" t="n">
        <v>0.336</v>
      </c>
      <c r="T199" s="2"/>
      <c r="U199" s="2"/>
      <c r="V199" s="2" t="s">
        <v>71</v>
      </c>
    </row>
    <row r="200" customFormat="false" ht="15" hidden="false" customHeight="false" outlineLevel="0" collapsed="false">
      <c r="A200" s="2" t="s">
        <v>706</v>
      </c>
      <c r="B200" s="2" t="s">
        <v>718</v>
      </c>
      <c r="C200" s="2" t="s">
        <v>461</v>
      </c>
      <c r="D200" s="2" t="s">
        <v>450</v>
      </c>
      <c r="E200" s="2" t="s">
        <v>708</v>
      </c>
      <c r="F200" s="2" t="s">
        <v>708</v>
      </c>
      <c r="G200" s="2" t="s">
        <v>393</v>
      </c>
      <c r="H200" s="2" t="n">
        <v>0.645</v>
      </c>
      <c r="I200" s="2" t="n">
        <v>1950</v>
      </c>
      <c r="J200" s="2" t="n">
        <v>0.645</v>
      </c>
      <c r="K200" s="2" t="n">
        <v>0.008</v>
      </c>
      <c r="L200" s="2"/>
      <c r="M200" s="2"/>
      <c r="N200" s="2"/>
      <c r="O200" s="2"/>
      <c r="P200" s="2"/>
      <c r="Q200" s="2" t="s">
        <v>71</v>
      </c>
      <c r="R200" s="2" t="s">
        <v>700</v>
      </c>
      <c r="S200" s="2" t="n">
        <v>0.645</v>
      </c>
      <c r="T200" s="2"/>
      <c r="U200" s="2"/>
      <c r="V200" s="2" t="s">
        <v>43</v>
      </c>
    </row>
    <row r="201" customFormat="false" ht="15" hidden="false" customHeight="false" outlineLevel="0" collapsed="false">
      <c r="A201" s="2" t="s">
        <v>706</v>
      </c>
      <c r="B201" s="2" t="s">
        <v>719</v>
      </c>
      <c r="C201" s="2" t="s">
        <v>460</v>
      </c>
      <c r="D201" s="2" t="s">
        <v>39</v>
      </c>
      <c r="E201" s="2" t="s">
        <v>720</v>
      </c>
      <c r="F201" s="2" t="s">
        <v>708</v>
      </c>
      <c r="G201" s="2" t="s">
        <v>257</v>
      </c>
      <c r="H201" s="2" t="n">
        <v>0.66</v>
      </c>
      <c r="I201" s="2" t="n">
        <v>1950</v>
      </c>
      <c r="J201" s="2" t="n">
        <v>0.739</v>
      </c>
      <c r="K201" s="2" t="n">
        <v>0.1695</v>
      </c>
      <c r="L201" s="2" t="n">
        <v>1100</v>
      </c>
      <c r="M201" s="2" t="n">
        <v>60</v>
      </c>
      <c r="N201" s="2" t="n">
        <v>-248</v>
      </c>
      <c r="O201" s="2" t="n">
        <v>35</v>
      </c>
      <c r="P201" s="2" t="s">
        <v>704</v>
      </c>
      <c r="Q201" s="2" t="s">
        <v>71</v>
      </c>
      <c r="R201" s="2" t="s">
        <v>700</v>
      </c>
      <c r="S201" s="2" t="n">
        <v>0.62</v>
      </c>
      <c r="T201" s="2"/>
      <c r="U201" s="2"/>
      <c r="V201" s="2" t="s">
        <v>71</v>
      </c>
    </row>
    <row r="202" customFormat="false" ht="15" hidden="false" customHeight="false" outlineLevel="0" collapsed="false">
      <c r="A202" s="2" t="s">
        <v>706</v>
      </c>
      <c r="B202" s="2" t="s">
        <v>721</v>
      </c>
      <c r="C202" s="2" t="s">
        <v>465</v>
      </c>
      <c r="D202" s="2" t="s">
        <v>450</v>
      </c>
      <c r="E202" s="2" t="s">
        <v>720</v>
      </c>
      <c r="F202" s="2" t="s">
        <v>708</v>
      </c>
      <c r="G202" s="2" t="s">
        <v>257</v>
      </c>
      <c r="H202" s="2" t="n">
        <v>0.87</v>
      </c>
      <c r="I202" s="2" t="n">
        <v>1950</v>
      </c>
      <c r="J202" s="2" t="n">
        <v>0.979</v>
      </c>
      <c r="K202" s="2" t="n">
        <v>0.173</v>
      </c>
      <c r="L202" s="2" t="n">
        <v>1340</v>
      </c>
      <c r="M202" s="2" t="n">
        <v>40</v>
      </c>
      <c r="N202" s="2" t="n">
        <v>-248</v>
      </c>
      <c r="O202" s="2" t="n">
        <v>35</v>
      </c>
      <c r="P202" s="2" t="s">
        <v>704</v>
      </c>
      <c r="Q202" s="2" t="s">
        <v>71</v>
      </c>
      <c r="R202" s="2" t="s">
        <v>700</v>
      </c>
      <c r="S202" s="2" t="n">
        <v>0.837</v>
      </c>
      <c r="T202" s="2"/>
      <c r="U202" s="2"/>
      <c r="V202" s="2" t="s">
        <v>43</v>
      </c>
    </row>
    <row r="203" customFormat="false" ht="15" hidden="false" customHeight="false" outlineLevel="0" collapsed="false">
      <c r="A203" s="2" t="s">
        <v>706</v>
      </c>
      <c r="B203" s="2" t="s">
        <v>722</v>
      </c>
      <c r="C203" s="2" t="s">
        <v>461</v>
      </c>
      <c r="D203" s="2" t="s">
        <v>39</v>
      </c>
      <c r="E203" s="2" t="s">
        <v>720</v>
      </c>
      <c r="F203" s="2" t="s">
        <v>708</v>
      </c>
      <c r="G203" s="2" t="s">
        <v>257</v>
      </c>
      <c r="H203" s="2" t="n">
        <v>0.99</v>
      </c>
      <c r="I203" s="2" t="n">
        <v>1950</v>
      </c>
      <c r="J203" s="2" t="n">
        <v>1.061</v>
      </c>
      <c r="K203" s="2" t="n">
        <v>0.1845</v>
      </c>
      <c r="L203" s="2" t="n">
        <v>1420</v>
      </c>
      <c r="M203" s="2" t="n">
        <v>60</v>
      </c>
      <c r="N203" s="2" t="n">
        <v>-248</v>
      </c>
      <c r="O203" s="2" t="n">
        <v>35</v>
      </c>
      <c r="P203" s="2" t="s">
        <v>704</v>
      </c>
      <c r="Q203" s="2" t="s">
        <v>71</v>
      </c>
      <c r="R203" s="2" t="s">
        <v>700</v>
      </c>
      <c r="S203" s="2" t="n">
        <v>0.92</v>
      </c>
      <c r="T203" s="2"/>
      <c r="U203" s="2"/>
      <c r="V203" s="2" t="s">
        <v>71</v>
      </c>
    </row>
    <row r="204" customFormat="false" ht="15" hidden="false" customHeight="false" outlineLevel="0" collapsed="false">
      <c r="A204" s="2" t="s">
        <v>706</v>
      </c>
      <c r="B204" s="2" t="s">
        <v>723</v>
      </c>
      <c r="C204" s="2" t="s">
        <v>454</v>
      </c>
      <c r="D204" s="2" t="s">
        <v>39</v>
      </c>
      <c r="E204" s="2" t="s">
        <v>708</v>
      </c>
      <c r="F204" s="2" t="s">
        <v>708</v>
      </c>
      <c r="G204" s="2" t="s">
        <v>393</v>
      </c>
      <c r="H204" s="2" t="n">
        <v>1.035</v>
      </c>
      <c r="I204" s="2" t="n">
        <v>1950</v>
      </c>
      <c r="J204" s="2" t="n">
        <v>1.035</v>
      </c>
      <c r="K204" s="2" t="n">
        <v>0.008</v>
      </c>
      <c r="L204" s="2"/>
      <c r="M204" s="2"/>
      <c r="N204" s="2"/>
      <c r="O204" s="2"/>
      <c r="P204" s="2"/>
      <c r="Q204" s="2" t="s">
        <v>71</v>
      </c>
      <c r="R204" s="2" t="s">
        <v>700</v>
      </c>
      <c r="S204" s="2" t="n">
        <v>1.035</v>
      </c>
      <c r="T204" s="2"/>
      <c r="U204" s="2"/>
      <c r="V204" s="2" t="s">
        <v>71</v>
      </c>
    </row>
    <row r="205" customFormat="false" ht="15" hidden="false" customHeight="false" outlineLevel="0" collapsed="false">
      <c r="A205" s="2" t="s">
        <v>706</v>
      </c>
      <c r="B205" s="2" t="s">
        <v>724</v>
      </c>
      <c r="C205" s="2" t="s">
        <v>468</v>
      </c>
      <c r="D205" s="2" t="s">
        <v>450</v>
      </c>
      <c r="E205" s="2" t="s">
        <v>708</v>
      </c>
      <c r="F205" s="2" t="s">
        <v>708</v>
      </c>
      <c r="G205" s="2" t="s">
        <v>393</v>
      </c>
      <c r="H205" s="2" t="n">
        <v>1.084</v>
      </c>
      <c r="I205" s="2" t="n">
        <v>1950</v>
      </c>
      <c r="J205" s="2" t="n">
        <v>1.084</v>
      </c>
      <c r="K205" s="2" t="n">
        <v>0.014</v>
      </c>
      <c r="L205" s="2"/>
      <c r="M205" s="2"/>
      <c r="N205" s="2"/>
      <c r="O205" s="2"/>
      <c r="P205" s="2"/>
      <c r="Q205" s="2" t="s">
        <v>71</v>
      </c>
      <c r="R205" s="2" t="s">
        <v>700</v>
      </c>
      <c r="S205" s="2" t="n">
        <v>1.084</v>
      </c>
      <c r="T205" s="2"/>
      <c r="U205" s="2"/>
      <c r="V205" s="2" t="s">
        <v>43</v>
      </c>
    </row>
    <row r="206" customFormat="false" ht="15" hidden="false" customHeight="false" outlineLevel="0" collapsed="false">
      <c r="A206" s="2" t="s">
        <v>706</v>
      </c>
      <c r="B206" s="2" t="s">
        <v>725</v>
      </c>
      <c r="C206" s="2" t="s">
        <v>449</v>
      </c>
      <c r="D206" s="2" t="s">
        <v>39</v>
      </c>
      <c r="E206" s="2" t="s">
        <v>708</v>
      </c>
      <c r="F206" s="2" t="s">
        <v>708</v>
      </c>
      <c r="G206" s="2" t="s">
        <v>393</v>
      </c>
      <c r="H206" s="2" t="n">
        <v>1.105</v>
      </c>
      <c r="I206" s="2" t="n">
        <v>1950</v>
      </c>
      <c r="J206" s="2" t="n">
        <v>1.105</v>
      </c>
      <c r="K206" s="2" t="n">
        <v>0.02</v>
      </c>
      <c r="L206" s="2"/>
      <c r="M206" s="2"/>
      <c r="N206" s="2"/>
      <c r="O206" s="2"/>
      <c r="P206" s="2"/>
      <c r="Q206" s="2" t="s">
        <v>71</v>
      </c>
      <c r="R206" s="2" t="s">
        <v>700</v>
      </c>
      <c r="S206" s="2" t="n">
        <v>1.105</v>
      </c>
      <c r="T206" s="2"/>
      <c r="U206" s="2"/>
      <c r="V206" s="2" t="s">
        <v>71</v>
      </c>
    </row>
    <row r="207" customFormat="false" ht="15" hidden="false" customHeight="false" outlineLevel="0" collapsed="false">
      <c r="A207" s="2" t="s">
        <v>706</v>
      </c>
      <c r="B207" s="2" t="s">
        <v>726</v>
      </c>
      <c r="C207" s="2" t="s">
        <v>468</v>
      </c>
      <c r="D207" s="2" t="s">
        <v>450</v>
      </c>
      <c r="E207" s="2" t="s">
        <v>708</v>
      </c>
      <c r="F207" s="2" t="s">
        <v>708</v>
      </c>
      <c r="G207" s="2" t="s">
        <v>393</v>
      </c>
      <c r="H207" s="2" t="n">
        <v>1.191</v>
      </c>
      <c r="I207" s="2" t="n">
        <v>1950</v>
      </c>
      <c r="J207" s="2" t="n">
        <v>1.191</v>
      </c>
      <c r="K207" s="2" t="n">
        <v>0.014</v>
      </c>
      <c r="L207" s="2"/>
      <c r="M207" s="2"/>
      <c r="N207" s="2"/>
      <c r="O207" s="2"/>
      <c r="P207" s="2"/>
      <c r="Q207" s="2" t="s">
        <v>71</v>
      </c>
      <c r="R207" s="2" t="s">
        <v>700</v>
      </c>
      <c r="S207" s="2" t="n">
        <v>1.191</v>
      </c>
      <c r="T207" s="2"/>
      <c r="U207" s="2"/>
      <c r="V207" s="2" t="s">
        <v>43</v>
      </c>
    </row>
    <row r="208" customFormat="false" ht="15" hidden="false" customHeight="false" outlineLevel="0" collapsed="false">
      <c r="A208" s="2" t="s">
        <v>706</v>
      </c>
      <c r="B208" s="2" t="s">
        <v>727</v>
      </c>
      <c r="C208" s="2" t="s">
        <v>456</v>
      </c>
      <c r="D208" s="2" t="s">
        <v>39</v>
      </c>
      <c r="E208" s="2" t="s">
        <v>708</v>
      </c>
      <c r="F208" s="2" t="s">
        <v>708</v>
      </c>
      <c r="G208" s="2" t="s">
        <v>393</v>
      </c>
      <c r="H208" s="2" t="n">
        <v>1.452</v>
      </c>
      <c r="I208" s="2" t="n">
        <v>1950</v>
      </c>
      <c r="J208" s="2" t="n">
        <v>1.452</v>
      </c>
      <c r="K208" s="2" t="n">
        <v>0.041</v>
      </c>
      <c r="L208" s="2"/>
      <c r="M208" s="2"/>
      <c r="N208" s="2"/>
      <c r="O208" s="2"/>
      <c r="P208" s="2"/>
      <c r="Q208" s="2" t="s">
        <v>71</v>
      </c>
      <c r="R208" s="2" t="s">
        <v>700</v>
      </c>
      <c r="S208" s="2" t="n">
        <v>1.452</v>
      </c>
      <c r="T208" s="2"/>
      <c r="U208" s="2"/>
      <c r="V208" s="2" t="s">
        <v>71</v>
      </c>
    </row>
    <row r="209" customFormat="false" ht="15" hidden="false" customHeight="false" outlineLevel="0" collapsed="false">
      <c r="A209" s="2" t="s">
        <v>706</v>
      </c>
      <c r="B209" s="2" t="s">
        <v>728</v>
      </c>
      <c r="C209" s="2" t="s">
        <v>469</v>
      </c>
      <c r="D209" s="2" t="s">
        <v>39</v>
      </c>
      <c r="E209" s="2" t="s">
        <v>708</v>
      </c>
      <c r="F209" s="2" t="s">
        <v>708</v>
      </c>
      <c r="G209" s="2" t="s">
        <v>393</v>
      </c>
      <c r="H209" s="2" t="n">
        <v>1.464</v>
      </c>
      <c r="I209" s="2" t="n">
        <v>1950</v>
      </c>
      <c r="J209" s="2" t="n">
        <v>1.464</v>
      </c>
      <c r="K209" s="2" t="n">
        <v>0.014</v>
      </c>
      <c r="L209" s="2"/>
      <c r="M209" s="2"/>
      <c r="N209" s="2"/>
      <c r="O209" s="2"/>
      <c r="P209" s="2"/>
      <c r="Q209" s="2" t="s">
        <v>71</v>
      </c>
      <c r="R209" s="2" t="s">
        <v>700</v>
      </c>
      <c r="S209" s="2" t="n">
        <v>1.464</v>
      </c>
      <c r="T209" s="2"/>
      <c r="U209" s="2"/>
      <c r="V209" s="2" t="s">
        <v>71</v>
      </c>
    </row>
    <row r="210" customFormat="false" ht="15" hidden="false" customHeight="false" outlineLevel="0" collapsed="false">
      <c r="A210" s="2" t="s">
        <v>706</v>
      </c>
      <c r="B210" s="2" t="s">
        <v>729</v>
      </c>
      <c r="C210" s="2" t="s">
        <v>468</v>
      </c>
      <c r="D210" s="2" t="s">
        <v>39</v>
      </c>
      <c r="E210" s="2" t="s">
        <v>720</v>
      </c>
      <c r="F210" s="2" t="s">
        <v>708</v>
      </c>
      <c r="G210" s="2" t="s">
        <v>257</v>
      </c>
      <c r="H210" s="2" t="n">
        <v>1.47</v>
      </c>
      <c r="I210" s="2" t="n">
        <v>1950</v>
      </c>
      <c r="J210" s="2" t="n">
        <v>1.576</v>
      </c>
      <c r="K210" s="2" t="n">
        <v>0.2145</v>
      </c>
      <c r="L210" s="2" t="n">
        <v>1915</v>
      </c>
      <c r="M210" s="2" t="n">
        <v>67.5</v>
      </c>
      <c r="N210" s="2" t="n">
        <v>-248</v>
      </c>
      <c r="O210" s="2" t="n">
        <v>35</v>
      </c>
      <c r="P210" s="2" t="s">
        <v>704</v>
      </c>
      <c r="Q210" s="2" t="s">
        <v>71</v>
      </c>
      <c r="R210" s="2" t="s">
        <v>700</v>
      </c>
      <c r="S210" s="2" t="n">
        <v>1.432</v>
      </c>
      <c r="T210" s="2"/>
      <c r="U210" s="2"/>
      <c r="V210" s="2" t="s">
        <v>71</v>
      </c>
    </row>
    <row r="211" customFormat="false" ht="15" hidden="false" customHeight="false" outlineLevel="0" collapsed="false">
      <c r="A211" s="2" t="s">
        <v>706</v>
      </c>
      <c r="B211" s="2" t="s">
        <v>730</v>
      </c>
      <c r="C211" s="2" t="s">
        <v>471</v>
      </c>
      <c r="D211" s="2" t="s">
        <v>39</v>
      </c>
      <c r="E211" s="2" t="s">
        <v>708</v>
      </c>
      <c r="F211" s="2" t="s">
        <v>708</v>
      </c>
      <c r="G211" s="2" t="s">
        <v>393</v>
      </c>
      <c r="H211" s="2" t="n">
        <v>1.67</v>
      </c>
      <c r="I211" s="2" t="n">
        <v>1950</v>
      </c>
      <c r="J211" s="2" t="n">
        <v>1.67</v>
      </c>
      <c r="K211" s="2" t="n">
        <v>0.013</v>
      </c>
      <c r="L211" s="2"/>
      <c r="M211" s="2"/>
      <c r="N211" s="2"/>
      <c r="O211" s="2"/>
      <c r="P211" s="2"/>
      <c r="Q211" s="2" t="s">
        <v>71</v>
      </c>
      <c r="R211" s="2" t="s">
        <v>700</v>
      </c>
      <c r="S211" s="2" t="n">
        <v>1.67</v>
      </c>
      <c r="T211" s="2"/>
      <c r="U211" s="2"/>
      <c r="V211" s="2" t="s">
        <v>71</v>
      </c>
    </row>
    <row r="212" customFormat="false" ht="15" hidden="false" customHeight="false" outlineLevel="0" collapsed="false">
      <c r="A212" s="2" t="s">
        <v>706</v>
      </c>
      <c r="B212" s="2" t="s">
        <v>731</v>
      </c>
      <c r="C212" s="2" t="s">
        <v>472</v>
      </c>
      <c r="D212" s="2" t="s">
        <v>450</v>
      </c>
      <c r="E212" s="2" t="s">
        <v>708</v>
      </c>
      <c r="F212" s="2" t="s">
        <v>708</v>
      </c>
      <c r="G212" s="2" t="s">
        <v>393</v>
      </c>
      <c r="H212" s="2" t="n">
        <v>1.797</v>
      </c>
      <c r="I212" s="2" t="n">
        <v>1950</v>
      </c>
      <c r="J212" s="2" t="n">
        <v>1.797</v>
      </c>
      <c r="K212" s="2" t="n">
        <v>0.016</v>
      </c>
      <c r="L212" s="2"/>
      <c r="M212" s="2"/>
      <c r="N212" s="2"/>
      <c r="O212" s="2"/>
      <c r="P212" s="2"/>
      <c r="Q212" s="2" t="s">
        <v>71</v>
      </c>
      <c r="R212" s="2" t="s">
        <v>700</v>
      </c>
      <c r="S212" s="2" t="n">
        <v>1.797</v>
      </c>
      <c r="T212" s="2"/>
      <c r="U212" s="2"/>
      <c r="V212" s="2" t="s">
        <v>43</v>
      </c>
    </row>
    <row r="213" customFormat="false" ht="15" hidden="false" customHeight="false" outlineLevel="0" collapsed="false">
      <c r="A213" s="2" t="s">
        <v>706</v>
      </c>
      <c r="B213" s="2" t="s">
        <v>732</v>
      </c>
      <c r="C213" s="2" t="s">
        <v>473</v>
      </c>
      <c r="D213" s="2" t="s">
        <v>450</v>
      </c>
      <c r="E213" s="2" t="s">
        <v>708</v>
      </c>
      <c r="F213" s="2" t="s">
        <v>708</v>
      </c>
      <c r="G213" s="2" t="s">
        <v>393</v>
      </c>
      <c r="H213" s="2" t="n">
        <v>1.968</v>
      </c>
      <c r="I213" s="2" t="n">
        <v>1950</v>
      </c>
      <c r="J213" s="2" t="n">
        <v>1.968</v>
      </c>
      <c r="K213" s="2" t="n">
        <v>0.022</v>
      </c>
      <c r="L213" s="2"/>
      <c r="M213" s="2"/>
      <c r="N213" s="2"/>
      <c r="O213" s="2"/>
      <c r="P213" s="2"/>
      <c r="Q213" s="2" t="s">
        <v>71</v>
      </c>
      <c r="R213" s="2" t="s">
        <v>700</v>
      </c>
      <c r="S213" s="2" t="n">
        <v>1.968</v>
      </c>
      <c r="T213" s="2"/>
      <c r="U213" s="2"/>
      <c r="V213" s="2" t="s">
        <v>43</v>
      </c>
    </row>
    <row r="214" customFormat="false" ht="15" hidden="false" customHeight="false" outlineLevel="0" collapsed="false">
      <c r="A214" s="2" t="s">
        <v>706</v>
      </c>
      <c r="B214" s="2" t="s">
        <v>733</v>
      </c>
      <c r="C214" s="2" t="s">
        <v>474</v>
      </c>
      <c r="D214" s="2" t="s">
        <v>39</v>
      </c>
      <c r="E214" s="2" t="s">
        <v>708</v>
      </c>
      <c r="F214" s="2" t="s">
        <v>708</v>
      </c>
      <c r="G214" s="2" t="s">
        <v>393</v>
      </c>
      <c r="H214" s="2" t="n">
        <v>1.99</v>
      </c>
      <c r="I214" s="2" t="n">
        <v>1950</v>
      </c>
      <c r="J214" s="2" t="n">
        <v>1.99</v>
      </c>
      <c r="K214" s="2" t="n">
        <v>0.018</v>
      </c>
      <c r="L214" s="2"/>
      <c r="M214" s="2"/>
      <c r="N214" s="2"/>
      <c r="O214" s="2"/>
      <c r="P214" s="2"/>
      <c r="Q214" s="2" t="s">
        <v>71</v>
      </c>
      <c r="R214" s="2" t="s">
        <v>700</v>
      </c>
      <c r="S214" s="2" t="n">
        <v>1.99</v>
      </c>
      <c r="T214" s="2"/>
      <c r="U214" s="2"/>
      <c r="V214" s="2" t="s">
        <v>71</v>
      </c>
    </row>
    <row r="215" customFormat="false" ht="15" hidden="false" customHeight="false" outlineLevel="0" collapsed="false">
      <c r="A215" s="2" t="s">
        <v>706</v>
      </c>
      <c r="B215" s="2" t="s">
        <v>734</v>
      </c>
      <c r="C215" s="2" t="s">
        <v>455</v>
      </c>
      <c r="D215" s="2" t="s">
        <v>39</v>
      </c>
      <c r="E215" s="2" t="s">
        <v>720</v>
      </c>
      <c r="F215" s="2" t="s">
        <v>708</v>
      </c>
      <c r="G215" s="2" t="s">
        <v>257</v>
      </c>
      <c r="H215" s="2" t="n">
        <v>2.72</v>
      </c>
      <c r="I215" s="2" t="n">
        <v>1950</v>
      </c>
      <c r="J215" s="2" t="n">
        <v>2.879</v>
      </c>
      <c r="K215" s="2" t="n">
        <v>0.2515</v>
      </c>
      <c r="L215" s="2" t="n">
        <v>2978</v>
      </c>
      <c r="M215" s="2" t="n">
        <v>85</v>
      </c>
      <c r="N215" s="2" t="n">
        <v>-248</v>
      </c>
      <c r="O215" s="2" t="n">
        <v>35</v>
      </c>
      <c r="P215" s="2" t="s">
        <v>704</v>
      </c>
      <c r="Q215" s="2" t="s">
        <v>71</v>
      </c>
      <c r="R215" s="2" t="s">
        <v>700</v>
      </c>
      <c r="S215" s="2" t="n">
        <v>2.716</v>
      </c>
      <c r="T215" s="2"/>
      <c r="U215" s="2"/>
      <c r="V215" s="2" t="s">
        <v>71</v>
      </c>
    </row>
    <row r="216" customFormat="false" ht="15" hidden="false" customHeight="false" outlineLevel="0" collapsed="false">
      <c r="A216" s="2" t="s">
        <v>706</v>
      </c>
      <c r="B216" s="2" t="s">
        <v>735</v>
      </c>
      <c r="C216" s="2" t="s">
        <v>452</v>
      </c>
      <c r="D216" s="2" t="s">
        <v>39</v>
      </c>
      <c r="E216" s="2" t="s">
        <v>720</v>
      </c>
      <c r="F216" s="2" t="s">
        <v>708</v>
      </c>
      <c r="G216" s="2" t="s">
        <v>257</v>
      </c>
      <c r="H216" s="2" t="n">
        <v>2.835</v>
      </c>
      <c r="I216" s="2" t="n">
        <v>1950</v>
      </c>
      <c r="J216" s="2" t="n">
        <v>2.94</v>
      </c>
      <c r="K216" s="2" t="n">
        <v>0.2185</v>
      </c>
      <c r="L216" s="2" t="n">
        <v>3034</v>
      </c>
      <c r="M216" s="2" t="n">
        <v>67.5</v>
      </c>
      <c r="N216" s="2" t="n">
        <v>-248</v>
      </c>
      <c r="O216" s="2" t="n">
        <v>35</v>
      </c>
      <c r="P216" s="2" t="s">
        <v>704</v>
      </c>
      <c r="Q216" s="2" t="s">
        <v>71</v>
      </c>
      <c r="R216" s="2" t="s">
        <v>700</v>
      </c>
      <c r="S216" s="2" t="n">
        <v>2.789</v>
      </c>
      <c r="T216" s="2"/>
      <c r="U216" s="2"/>
      <c r="V216" s="2" t="s">
        <v>71</v>
      </c>
    </row>
    <row r="217" customFormat="false" ht="15" hidden="false" customHeight="false" outlineLevel="0" collapsed="false">
      <c r="A217" s="2" t="s">
        <v>706</v>
      </c>
      <c r="B217" s="2" t="s">
        <v>736</v>
      </c>
      <c r="C217" s="2" t="s">
        <v>471</v>
      </c>
      <c r="D217" s="2" t="s">
        <v>39</v>
      </c>
      <c r="E217" s="2" t="s">
        <v>720</v>
      </c>
      <c r="F217" s="2" t="s">
        <v>708</v>
      </c>
      <c r="G217" s="2" t="s">
        <v>257</v>
      </c>
      <c r="H217" s="2" t="n">
        <v>2.975</v>
      </c>
      <c r="I217" s="2" t="n">
        <v>1950</v>
      </c>
      <c r="J217" s="2" t="n">
        <v>3.109</v>
      </c>
      <c r="K217" s="2" t="n">
        <v>0.2355</v>
      </c>
      <c r="L217" s="2" t="n">
        <v>3170</v>
      </c>
      <c r="M217" s="2" t="n">
        <v>70</v>
      </c>
      <c r="N217" s="2" t="n">
        <v>-248</v>
      </c>
      <c r="O217" s="2" t="n">
        <v>35</v>
      </c>
      <c r="P217" s="2" t="s">
        <v>704</v>
      </c>
      <c r="Q217" s="2" t="s">
        <v>71</v>
      </c>
      <c r="R217" s="2" t="s">
        <v>700</v>
      </c>
      <c r="S217" s="2" t="n">
        <v>2.947</v>
      </c>
      <c r="T217" s="2"/>
      <c r="U217" s="2"/>
      <c r="V217" s="2" t="s">
        <v>71</v>
      </c>
    </row>
    <row r="218" customFormat="false" ht="15" hidden="false" customHeight="false" outlineLevel="0" collapsed="false">
      <c r="A218" s="2" t="s">
        <v>706</v>
      </c>
      <c r="B218" s="2" t="s">
        <v>737</v>
      </c>
      <c r="C218" s="2" t="s">
        <v>475</v>
      </c>
      <c r="D218" s="2" t="s">
        <v>39</v>
      </c>
      <c r="E218" s="2" t="s">
        <v>708</v>
      </c>
      <c r="F218" s="2" t="s">
        <v>708</v>
      </c>
      <c r="G218" s="2" t="s">
        <v>393</v>
      </c>
      <c r="H218" s="2" t="n">
        <v>2.98</v>
      </c>
      <c r="I218" s="2" t="n">
        <v>1950</v>
      </c>
      <c r="J218" s="2" t="n">
        <v>2.98</v>
      </c>
      <c r="K218" s="2" t="n">
        <v>0.042</v>
      </c>
      <c r="L218" s="2"/>
      <c r="M218" s="2"/>
      <c r="N218" s="2"/>
      <c r="O218" s="2"/>
      <c r="P218" s="2"/>
      <c r="Q218" s="2" t="s">
        <v>71</v>
      </c>
      <c r="R218" s="2" t="s">
        <v>700</v>
      </c>
      <c r="S218" s="2" t="n">
        <v>2.98</v>
      </c>
      <c r="T218" s="2"/>
      <c r="U218" s="2"/>
      <c r="V218" s="2" t="s">
        <v>71</v>
      </c>
    </row>
    <row r="219" customFormat="false" ht="15" hidden="false" customHeight="false" outlineLevel="0" collapsed="false">
      <c r="A219" s="2" t="s">
        <v>706</v>
      </c>
      <c r="B219" s="2" t="s">
        <v>738</v>
      </c>
      <c r="C219" s="2" t="s">
        <v>473</v>
      </c>
      <c r="D219" s="2" t="s">
        <v>39</v>
      </c>
      <c r="E219" s="2" t="s">
        <v>720</v>
      </c>
      <c r="F219" s="2" t="s">
        <v>708</v>
      </c>
      <c r="G219" s="2" t="s">
        <v>257</v>
      </c>
      <c r="H219" s="2" t="n">
        <v>3.235</v>
      </c>
      <c r="I219" s="2" t="n">
        <v>1950</v>
      </c>
      <c r="J219" s="2" t="n">
        <v>3.365</v>
      </c>
      <c r="K219" s="2" t="n">
        <v>0.232</v>
      </c>
      <c r="L219" s="2" t="n">
        <v>3380</v>
      </c>
      <c r="M219" s="2" t="n">
        <v>70</v>
      </c>
      <c r="N219" s="2" t="n">
        <v>-248</v>
      </c>
      <c r="O219" s="2" t="n">
        <v>35</v>
      </c>
      <c r="P219" s="2" t="s">
        <v>704</v>
      </c>
      <c r="Q219" s="2" t="s">
        <v>71</v>
      </c>
      <c r="R219" s="2" t="s">
        <v>700</v>
      </c>
      <c r="S219" s="2" t="n">
        <v>3.201</v>
      </c>
      <c r="T219" s="2"/>
      <c r="U219" s="2"/>
      <c r="V219" s="2" t="s">
        <v>71</v>
      </c>
    </row>
    <row r="220" customFormat="false" ht="15" hidden="false" customHeight="false" outlineLevel="0" collapsed="false">
      <c r="A220" s="2" t="s">
        <v>706</v>
      </c>
      <c r="B220" s="2" t="s">
        <v>739</v>
      </c>
      <c r="C220" s="2" t="s">
        <v>455</v>
      </c>
      <c r="D220" s="2" t="s">
        <v>39</v>
      </c>
      <c r="E220" s="2" t="s">
        <v>720</v>
      </c>
      <c r="F220" s="2" t="s">
        <v>708</v>
      </c>
      <c r="G220" s="2" t="s">
        <v>257</v>
      </c>
      <c r="H220" s="2" t="n">
        <v>3.485</v>
      </c>
      <c r="I220" s="2" t="n">
        <v>1950</v>
      </c>
      <c r="J220" s="2" t="n">
        <v>3.619</v>
      </c>
      <c r="K220" s="2" t="n">
        <v>0.263</v>
      </c>
      <c r="L220" s="2" t="n">
        <v>3588</v>
      </c>
      <c r="M220" s="2" t="n">
        <v>87.5</v>
      </c>
      <c r="N220" s="2" t="n">
        <v>-248</v>
      </c>
      <c r="O220" s="2" t="n">
        <v>35</v>
      </c>
      <c r="P220" s="2" t="s">
        <v>704</v>
      </c>
      <c r="Q220" s="2" t="s">
        <v>71</v>
      </c>
      <c r="R220" s="2" t="s">
        <v>700</v>
      </c>
      <c r="S220" s="2" t="n">
        <v>3.458</v>
      </c>
      <c r="T220" s="2"/>
      <c r="U220" s="2"/>
      <c r="V220" s="2" t="s">
        <v>71</v>
      </c>
    </row>
    <row r="221" customFormat="false" ht="15" hidden="false" customHeight="false" outlineLevel="0" collapsed="false">
      <c r="A221" s="2" t="s">
        <v>706</v>
      </c>
      <c r="B221" s="2" t="s">
        <v>740</v>
      </c>
      <c r="C221" s="2" t="s">
        <v>475</v>
      </c>
      <c r="D221" s="2" t="s">
        <v>450</v>
      </c>
      <c r="E221" s="2" t="s">
        <v>720</v>
      </c>
      <c r="F221" s="2" t="s">
        <v>708</v>
      </c>
      <c r="G221" s="2" t="s">
        <v>257</v>
      </c>
      <c r="H221" s="2" t="n">
        <v>3.545</v>
      </c>
      <c r="I221" s="2" t="n">
        <v>1950</v>
      </c>
      <c r="J221" s="2" t="n">
        <v>3.668</v>
      </c>
      <c r="K221" s="2" t="n">
        <v>0.27</v>
      </c>
      <c r="L221" s="2" t="n">
        <v>3627</v>
      </c>
      <c r="M221" s="2" t="n">
        <v>87.5</v>
      </c>
      <c r="N221" s="2" t="n">
        <v>-248</v>
      </c>
      <c r="O221" s="2" t="n">
        <v>35</v>
      </c>
      <c r="P221" s="2" t="s">
        <v>704</v>
      </c>
      <c r="Q221" s="2" t="s">
        <v>71</v>
      </c>
      <c r="R221" s="2" t="s">
        <v>700</v>
      </c>
      <c r="S221" s="2" t="n">
        <v>3.506</v>
      </c>
      <c r="T221" s="2"/>
      <c r="U221" s="2"/>
      <c r="V221" s="2" t="s">
        <v>43</v>
      </c>
    </row>
    <row r="222" customFormat="false" ht="15" hidden="false" customHeight="false" outlineLevel="0" collapsed="false">
      <c r="A222" s="2" t="s">
        <v>706</v>
      </c>
      <c r="B222" s="2" t="s">
        <v>741</v>
      </c>
      <c r="C222" s="2" t="s">
        <v>458</v>
      </c>
      <c r="D222" s="2" t="s">
        <v>39</v>
      </c>
      <c r="E222" s="2" t="s">
        <v>708</v>
      </c>
      <c r="F222" s="2" t="s">
        <v>708</v>
      </c>
      <c r="G222" s="2" t="s">
        <v>393</v>
      </c>
      <c r="H222" s="2" t="n">
        <v>3.684</v>
      </c>
      <c r="I222" s="2" t="n">
        <v>1950</v>
      </c>
      <c r="J222" s="2" t="n">
        <v>3.684</v>
      </c>
      <c r="K222" s="2" t="n">
        <v>0.026</v>
      </c>
      <c r="L222" s="2"/>
      <c r="M222" s="2"/>
      <c r="N222" s="2"/>
      <c r="O222" s="2"/>
      <c r="P222" s="2"/>
      <c r="Q222" s="2" t="s">
        <v>71</v>
      </c>
      <c r="R222" s="2" t="s">
        <v>700</v>
      </c>
      <c r="S222" s="2" t="n">
        <v>3.684</v>
      </c>
      <c r="T222" s="2"/>
      <c r="U222" s="2"/>
      <c r="V222" s="2" t="s">
        <v>71</v>
      </c>
    </row>
    <row r="223" customFormat="false" ht="15" hidden="false" customHeight="false" outlineLevel="0" collapsed="false">
      <c r="A223" s="2" t="s">
        <v>706</v>
      </c>
      <c r="B223" s="2" t="s">
        <v>742</v>
      </c>
      <c r="C223" s="2" t="s">
        <v>469</v>
      </c>
      <c r="D223" s="2" t="s">
        <v>450</v>
      </c>
      <c r="E223" s="2" t="s">
        <v>720</v>
      </c>
      <c r="F223" s="2" t="s">
        <v>708</v>
      </c>
      <c r="G223" s="2" t="s">
        <v>257</v>
      </c>
      <c r="H223" s="2" t="n">
        <v>3.825</v>
      </c>
      <c r="I223" s="2" t="n">
        <v>1950</v>
      </c>
      <c r="J223" s="2" t="n">
        <v>3.976</v>
      </c>
      <c r="K223" s="2" t="n">
        <v>0.252</v>
      </c>
      <c r="L223" s="2" t="n">
        <v>3862</v>
      </c>
      <c r="M223" s="2" t="n">
        <v>67.5</v>
      </c>
      <c r="N223" s="2" t="n">
        <v>-248</v>
      </c>
      <c r="O223" s="2" t="n">
        <v>35</v>
      </c>
      <c r="P223" s="2" t="s">
        <v>704</v>
      </c>
      <c r="Q223" s="2" t="s">
        <v>71</v>
      </c>
      <c r="R223" s="2" t="s">
        <v>700</v>
      </c>
      <c r="S223" s="2" t="n">
        <v>3.797</v>
      </c>
      <c r="T223" s="2"/>
      <c r="U223" s="2"/>
      <c r="V223" s="2" t="s">
        <v>43</v>
      </c>
    </row>
    <row r="224" customFormat="false" ht="15" hidden="false" customHeight="false" outlineLevel="0" collapsed="false">
      <c r="A224" s="2" t="s">
        <v>706</v>
      </c>
      <c r="B224" s="2" t="s">
        <v>743</v>
      </c>
      <c r="C224" s="2" t="s">
        <v>449</v>
      </c>
      <c r="D224" s="2" t="s">
        <v>39</v>
      </c>
      <c r="E224" s="2" t="s">
        <v>708</v>
      </c>
      <c r="F224" s="2" t="s">
        <v>708</v>
      </c>
      <c r="G224" s="2" t="s">
        <v>393</v>
      </c>
      <c r="H224" s="2" t="n">
        <v>4.202</v>
      </c>
      <c r="I224" s="2" t="n">
        <v>1950</v>
      </c>
      <c r="J224" s="2" t="n">
        <v>4.202</v>
      </c>
      <c r="K224" s="2" t="n">
        <v>0.03</v>
      </c>
      <c r="L224" s="2"/>
      <c r="M224" s="2"/>
      <c r="N224" s="2"/>
      <c r="O224" s="2"/>
      <c r="P224" s="2"/>
      <c r="Q224" s="2" t="s">
        <v>71</v>
      </c>
      <c r="R224" s="2" t="s">
        <v>700</v>
      </c>
      <c r="S224" s="2" t="n">
        <v>4.202</v>
      </c>
      <c r="T224" s="2"/>
      <c r="U224" s="2"/>
      <c r="V224" s="2" t="s">
        <v>71</v>
      </c>
    </row>
    <row r="225" customFormat="false" ht="15" hidden="false" customHeight="false" outlineLevel="0" collapsed="false">
      <c r="A225" s="2" t="s">
        <v>706</v>
      </c>
      <c r="B225" s="2" t="s">
        <v>744</v>
      </c>
      <c r="C225" s="2" t="s">
        <v>476</v>
      </c>
      <c r="D225" s="2" t="s">
        <v>450</v>
      </c>
      <c r="E225" s="2" t="s">
        <v>708</v>
      </c>
      <c r="F225" s="2" t="s">
        <v>708</v>
      </c>
      <c r="G225" s="2" t="s">
        <v>393</v>
      </c>
      <c r="H225" s="2" t="n">
        <v>4.277</v>
      </c>
      <c r="I225" s="2" t="n">
        <v>1950</v>
      </c>
      <c r="J225" s="2" t="n">
        <v>4.277</v>
      </c>
      <c r="K225" s="2" t="n">
        <v>0.041</v>
      </c>
      <c r="L225" s="2"/>
      <c r="M225" s="2"/>
      <c r="N225" s="2"/>
      <c r="O225" s="2"/>
      <c r="P225" s="2"/>
      <c r="Q225" s="2" t="s">
        <v>71</v>
      </c>
      <c r="R225" s="2" t="s">
        <v>700</v>
      </c>
      <c r="S225" s="2" t="n">
        <v>4.277</v>
      </c>
      <c r="T225" s="2"/>
      <c r="U225" s="2"/>
      <c r="V225" s="2" t="s">
        <v>43</v>
      </c>
    </row>
    <row r="226" customFormat="false" ht="15" hidden="false" customHeight="false" outlineLevel="0" collapsed="false">
      <c r="A226" s="2" t="s">
        <v>706</v>
      </c>
      <c r="B226" s="2" t="s">
        <v>745</v>
      </c>
      <c r="C226" s="2" t="s">
        <v>452</v>
      </c>
      <c r="D226" s="2" t="s">
        <v>450</v>
      </c>
      <c r="E226" s="2" t="s">
        <v>708</v>
      </c>
      <c r="F226" s="2" t="s">
        <v>708</v>
      </c>
      <c r="G226" s="2" t="s">
        <v>393</v>
      </c>
      <c r="H226" s="2" t="n">
        <v>4.371</v>
      </c>
      <c r="I226" s="2" t="n">
        <v>1950</v>
      </c>
      <c r="J226" s="2" t="n">
        <v>4.371</v>
      </c>
      <c r="K226" s="2" t="n">
        <v>0.033</v>
      </c>
      <c r="L226" s="2"/>
      <c r="M226" s="2"/>
      <c r="N226" s="2"/>
      <c r="O226" s="2"/>
      <c r="P226" s="2"/>
      <c r="Q226" s="2" t="s">
        <v>71</v>
      </c>
      <c r="R226" s="2" t="s">
        <v>700</v>
      </c>
      <c r="S226" s="2" t="n">
        <v>4.371</v>
      </c>
      <c r="T226" s="2"/>
      <c r="U226" s="2"/>
      <c r="V226" s="2" t="s">
        <v>43</v>
      </c>
    </row>
    <row r="227" customFormat="false" ht="15" hidden="false" customHeight="false" outlineLevel="0" collapsed="false">
      <c r="A227" s="2" t="s">
        <v>706</v>
      </c>
      <c r="B227" s="2" t="s">
        <v>746</v>
      </c>
      <c r="C227" s="2" t="s">
        <v>469</v>
      </c>
      <c r="D227" s="2" t="s">
        <v>39</v>
      </c>
      <c r="E227" s="2" t="s">
        <v>708</v>
      </c>
      <c r="F227" s="2" t="s">
        <v>708</v>
      </c>
      <c r="G227" s="2" t="s">
        <v>393</v>
      </c>
      <c r="H227" s="2" t="n">
        <v>4.397</v>
      </c>
      <c r="I227" s="2" t="n">
        <v>1950</v>
      </c>
      <c r="J227" s="2" t="n">
        <v>4.397</v>
      </c>
      <c r="K227" s="2" t="n">
        <v>0.035</v>
      </c>
      <c r="L227" s="2"/>
      <c r="M227" s="2"/>
      <c r="N227" s="2"/>
      <c r="O227" s="2"/>
      <c r="P227" s="2"/>
      <c r="Q227" s="2" t="s">
        <v>71</v>
      </c>
      <c r="R227" s="2" t="s">
        <v>700</v>
      </c>
      <c r="S227" s="2" t="n">
        <v>4.397</v>
      </c>
      <c r="T227" s="2"/>
      <c r="U227" s="2"/>
      <c r="V227" s="2" t="s">
        <v>71</v>
      </c>
    </row>
    <row r="228" customFormat="false" ht="15" hidden="false" customHeight="false" outlineLevel="0" collapsed="false">
      <c r="A228" s="2" t="s">
        <v>706</v>
      </c>
      <c r="B228" s="2" t="s">
        <v>747</v>
      </c>
      <c r="C228" s="2" t="s">
        <v>457</v>
      </c>
      <c r="D228" s="2" t="s">
        <v>450</v>
      </c>
      <c r="E228" s="2" t="s">
        <v>708</v>
      </c>
      <c r="F228" s="2" t="s">
        <v>708</v>
      </c>
      <c r="G228" s="2" t="s">
        <v>393</v>
      </c>
      <c r="H228" s="2" t="n">
        <v>4.424</v>
      </c>
      <c r="I228" s="2" t="n">
        <v>1950</v>
      </c>
      <c r="J228" s="2" t="n">
        <v>4.424</v>
      </c>
      <c r="K228" s="2" t="n">
        <v>0.031</v>
      </c>
      <c r="L228" s="2"/>
      <c r="M228" s="2"/>
      <c r="N228" s="2"/>
      <c r="O228" s="2"/>
      <c r="P228" s="2"/>
      <c r="Q228" s="2" t="s">
        <v>71</v>
      </c>
      <c r="R228" s="2" t="s">
        <v>700</v>
      </c>
      <c r="S228" s="2" t="n">
        <v>4.424</v>
      </c>
      <c r="T228" s="2"/>
      <c r="U228" s="2"/>
      <c r="V228" s="2" t="s">
        <v>43</v>
      </c>
    </row>
    <row r="229" customFormat="false" ht="15" hidden="false" customHeight="false" outlineLevel="0" collapsed="false">
      <c r="A229" s="2" t="s">
        <v>706</v>
      </c>
      <c r="B229" s="2" t="s">
        <v>748</v>
      </c>
      <c r="C229" s="2" t="s">
        <v>449</v>
      </c>
      <c r="D229" s="2" t="s">
        <v>39</v>
      </c>
      <c r="E229" s="2" t="s">
        <v>720</v>
      </c>
      <c r="F229" s="2" t="s">
        <v>708</v>
      </c>
      <c r="G229" s="2" t="s">
        <v>257</v>
      </c>
      <c r="H229" s="2" t="n">
        <v>4.435</v>
      </c>
      <c r="I229" s="2" t="n">
        <v>1950</v>
      </c>
      <c r="J229" s="2" t="n">
        <v>4.57</v>
      </c>
      <c r="K229" s="2" t="n">
        <v>0.242</v>
      </c>
      <c r="L229" s="2" t="n">
        <v>4310</v>
      </c>
      <c r="M229" s="2" t="n">
        <v>70</v>
      </c>
      <c r="N229" s="2" t="n">
        <v>-248</v>
      </c>
      <c r="O229" s="2" t="n">
        <v>35</v>
      </c>
      <c r="P229" s="2" t="s">
        <v>704</v>
      </c>
      <c r="Q229" s="2" t="s">
        <v>71</v>
      </c>
      <c r="R229" s="2" t="s">
        <v>700</v>
      </c>
      <c r="S229" s="2" t="n">
        <v>4.391</v>
      </c>
      <c r="T229" s="2"/>
      <c r="U229" s="2"/>
      <c r="V229" s="2" t="s">
        <v>71</v>
      </c>
    </row>
    <row r="230" customFormat="false" ht="15" hidden="false" customHeight="false" outlineLevel="0" collapsed="false">
      <c r="A230" s="2" t="s">
        <v>706</v>
      </c>
      <c r="B230" s="2" t="s">
        <v>749</v>
      </c>
      <c r="C230" s="2" t="s">
        <v>469</v>
      </c>
      <c r="D230" s="2" t="s">
        <v>39</v>
      </c>
      <c r="E230" s="2" t="s">
        <v>720</v>
      </c>
      <c r="F230" s="2" t="s">
        <v>708</v>
      </c>
      <c r="G230" s="2" t="s">
        <v>257</v>
      </c>
      <c r="H230" s="2" t="n">
        <v>4.565</v>
      </c>
      <c r="I230" s="2" t="n">
        <v>1950</v>
      </c>
      <c r="J230" s="2" t="n">
        <v>4.707</v>
      </c>
      <c r="K230" s="2" t="n">
        <v>0.3155</v>
      </c>
      <c r="L230" s="2" t="n">
        <v>4427</v>
      </c>
      <c r="M230" s="2" t="n">
        <v>105</v>
      </c>
      <c r="N230" s="2" t="n">
        <v>-248</v>
      </c>
      <c r="O230" s="2" t="n">
        <v>35</v>
      </c>
      <c r="P230" s="2" t="s">
        <v>704</v>
      </c>
      <c r="Q230" s="2" t="s">
        <v>71</v>
      </c>
      <c r="R230" s="2" t="s">
        <v>700</v>
      </c>
      <c r="S230" s="2" t="n">
        <v>4.545</v>
      </c>
      <c r="T230" s="2"/>
      <c r="U230" s="2"/>
      <c r="V230" s="2" t="s">
        <v>71</v>
      </c>
    </row>
    <row r="231" customFormat="false" ht="15" hidden="false" customHeight="false" outlineLevel="0" collapsed="false">
      <c r="A231" s="2" t="s">
        <v>706</v>
      </c>
      <c r="B231" s="2" t="s">
        <v>750</v>
      </c>
      <c r="C231" s="2" t="s">
        <v>474</v>
      </c>
      <c r="D231" s="2" t="s">
        <v>450</v>
      </c>
      <c r="E231" s="2" t="s">
        <v>708</v>
      </c>
      <c r="F231" s="2" t="s">
        <v>708</v>
      </c>
      <c r="G231" s="2" t="s">
        <v>393</v>
      </c>
      <c r="H231" s="2" t="n">
        <v>4.569</v>
      </c>
      <c r="I231" s="2" t="n">
        <v>1950</v>
      </c>
      <c r="J231" s="2" t="n">
        <v>4.569</v>
      </c>
      <c r="K231" s="2" t="n">
        <v>0.033</v>
      </c>
      <c r="L231" s="2"/>
      <c r="M231" s="2"/>
      <c r="N231" s="2"/>
      <c r="O231" s="2"/>
      <c r="P231" s="2"/>
      <c r="Q231" s="2" t="s">
        <v>71</v>
      </c>
      <c r="R231" s="2" t="s">
        <v>700</v>
      </c>
      <c r="S231" s="2" t="n">
        <v>4.569</v>
      </c>
      <c r="T231" s="2"/>
      <c r="U231" s="2"/>
      <c r="V231" s="2" t="s">
        <v>43</v>
      </c>
    </row>
    <row r="232" customFormat="false" ht="15" hidden="false" customHeight="false" outlineLevel="0" collapsed="false">
      <c r="A232" s="2" t="s">
        <v>706</v>
      </c>
      <c r="B232" s="2" t="s">
        <v>751</v>
      </c>
      <c r="C232" s="2" t="s">
        <v>445</v>
      </c>
      <c r="D232" s="2" t="s">
        <v>450</v>
      </c>
      <c r="E232" s="2" t="s">
        <v>708</v>
      </c>
      <c r="F232" s="2" t="s">
        <v>708</v>
      </c>
      <c r="G232" s="2" t="s">
        <v>393</v>
      </c>
      <c r="H232" s="2" t="n">
        <v>4.601</v>
      </c>
      <c r="I232" s="2" t="n">
        <v>1950</v>
      </c>
      <c r="J232" s="2" t="n">
        <v>4.601</v>
      </c>
      <c r="K232" s="2" t="n">
        <v>0.035</v>
      </c>
      <c r="L232" s="2"/>
      <c r="M232" s="2"/>
      <c r="N232" s="2"/>
      <c r="O232" s="2"/>
      <c r="P232" s="2"/>
      <c r="Q232" s="2" t="s">
        <v>71</v>
      </c>
      <c r="R232" s="2" t="s">
        <v>700</v>
      </c>
      <c r="S232" s="2" t="n">
        <v>4.601</v>
      </c>
      <c r="T232" s="2"/>
      <c r="U232" s="2"/>
      <c r="V232" s="2" t="s">
        <v>43</v>
      </c>
    </row>
    <row r="233" customFormat="false" ht="15" hidden="false" customHeight="false" outlineLevel="0" collapsed="false">
      <c r="A233" s="2" t="s">
        <v>706</v>
      </c>
      <c r="B233" s="2" t="s">
        <v>752</v>
      </c>
      <c r="C233" s="2" t="s">
        <v>469</v>
      </c>
      <c r="D233" s="2" t="s">
        <v>450</v>
      </c>
      <c r="E233" s="2" t="s">
        <v>720</v>
      </c>
      <c r="F233" s="2" t="s">
        <v>708</v>
      </c>
      <c r="G233" s="2" t="s">
        <v>257</v>
      </c>
      <c r="H233" s="2" t="n">
        <v>4.625</v>
      </c>
      <c r="I233" s="2" t="n">
        <v>1950</v>
      </c>
      <c r="J233" s="2" t="n">
        <v>4.761</v>
      </c>
      <c r="K233" s="2" t="n">
        <v>0.303</v>
      </c>
      <c r="L233" s="2" t="n">
        <v>4470</v>
      </c>
      <c r="M233" s="2" t="n">
        <v>92.5</v>
      </c>
      <c r="N233" s="2" t="n">
        <v>-248</v>
      </c>
      <c r="O233" s="2" t="n">
        <v>35</v>
      </c>
      <c r="P233" s="2" t="s">
        <v>704</v>
      </c>
      <c r="Q233" s="2" t="s">
        <v>71</v>
      </c>
      <c r="R233" s="2" t="s">
        <v>700</v>
      </c>
      <c r="S233" s="2" t="n">
        <v>4.599</v>
      </c>
      <c r="T233" s="2"/>
      <c r="U233" s="2"/>
      <c r="V233" s="2" t="s">
        <v>43</v>
      </c>
    </row>
    <row r="234" customFormat="false" ht="15" hidden="false" customHeight="false" outlineLevel="0" collapsed="false">
      <c r="A234" s="2" t="s">
        <v>706</v>
      </c>
      <c r="B234" s="2" t="s">
        <v>753</v>
      </c>
      <c r="C234" s="2" t="s">
        <v>476</v>
      </c>
      <c r="D234" s="2" t="s">
        <v>450</v>
      </c>
      <c r="E234" s="2" t="s">
        <v>708</v>
      </c>
      <c r="F234" s="2" t="s">
        <v>708</v>
      </c>
      <c r="G234" s="2"/>
      <c r="H234" s="2" t="n">
        <v>4.675</v>
      </c>
      <c r="I234" s="2" t="n">
        <v>1950</v>
      </c>
      <c r="J234" s="2" t="n">
        <v>4.675</v>
      </c>
      <c r="K234" s="2"/>
      <c r="L234" s="2"/>
      <c r="M234" s="2"/>
      <c r="N234" s="2"/>
      <c r="O234" s="2"/>
      <c r="P234" s="2"/>
      <c r="Q234" s="2" t="s">
        <v>71</v>
      </c>
      <c r="R234" s="2" t="s">
        <v>700</v>
      </c>
      <c r="S234" s="2" t="n">
        <v>4.675</v>
      </c>
      <c r="T234" s="2"/>
      <c r="U234" s="2"/>
      <c r="V234" s="2" t="s">
        <v>43</v>
      </c>
    </row>
    <row r="235" customFormat="false" ht="15" hidden="false" customHeight="false" outlineLevel="0" collapsed="false">
      <c r="A235" s="2" t="s">
        <v>706</v>
      </c>
      <c r="B235" s="2" t="s">
        <v>754</v>
      </c>
      <c r="C235" s="2" t="s">
        <v>454</v>
      </c>
      <c r="D235" s="2" t="s">
        <v>39</v>
      </c>
      <c r="E235" s="2" t="s">
        <v>720</v>
      </c>
      <c r="F235" s="2" t="s">
        <v>708</v>
      </c>
      <c r="G235" s="2" t="s">
        <v>257</v>
      </c>
      <c r="H235" s="2" t="n">
        <v>4.695</v>
      </c>
      <c r="I235" s="2" t="n">
        <v>1950</v>
      </c>
      <c r="J235" s="2" t="n">
        <v>4.845</v>
      </c>
      <c r="K235" s="2" t="n">
        <v>0.2695</v>
      </c>
      <c r="L235" s="2" t="n">
        <v>4530</v>
      </c>
      <c r="M235" s="2" t="n">
        <v>70</v>
      </c>
      <c r="N235" s="2" t="n">
        <v>-248</v>
      </c>
      <c r="O235" s="2" t="n">
        <v>35</v>
      </c>
      <c r="P235" s="2" t="s">
        <v>704</v>
      </c>
      <c r="Q235" s="2" t="s">
        <v>71</v>
      </c>
      <c r="R235" s="2" t="s">
        <v>700</v>
      </c>
      <c r="S235" s="2" t="n">
        <v>4.67</v>
      </c>
      <c r="T235" s="2"/>
      <c r="U235" s="2"/>
      <c r="V235" s="2" t="s">
        <v>71</v>
      </c>
    </row>
    <row r="236" customFormat="false" ht="15" hidden="false" customHeight="false" outlineLevel="0" collapsed="false">
      <c r="A236" s="2" t="s">
        <v>706</v>
      </c>
      <c r="B236" s="2" t="s">
        <v>755</v>
      </c>
      <c r="C236" s="2" t="s">
        <v>457</v>
      </c>
      <c r="D236" s="2" t="s">
        <v>450</v>
      </c>
      <c r="E236" s="2" t="s">
        <v>708</v>
      </c>
      <c r="F236" s="2" t="s">
        <v>708</v>
      </c>
      <c r="G236" s="2" t="s">
        <v>393</v>
      </c>
      <c r="H236" s="2" t="n">
        <v>4.813</v>
      </c>
      <c r="I236" s="2" t="n">
        <v>1950</v>
      </c>
      <c r="J236" s="2" t="n">
        <v>4.813</v>
      </c>
      <c r="K236" s="2" t="n">
        <v>0.033</v>
      </c>
      <c r="L236" s="2"/>
      <c r="M236" s="2"/>
      <c r="N236" s="2"/>
      <c r="O236" s="2"/>
      <c r="P236" s="2"/>
      <c r="Q236" s="2" t="s">
        <v>71</v>
      </c>
      <c r="R236" s="2" t="s">
        <v>700</v>
      </c>
      <c r="S236" s="2" t="n">
        <v>4.813</v>
      </c>
      <c r="T236" s="2"/>
      <c r="U236" s="2"/>
      <c r="V236" s="2" t="s">
        <v>43</v>
      </c>
    </row>
    <row r="237" customFormat="false" ht="15" hidden="false" customHeight="false" outlineLevel="0" collapsed="false">
      <c r="A237" s="2" t="s">
        <v>706</v>
      </c>
      <c r="B237" s="2" t="s">
        <v>756</v>
      </c>
      <c r="C237" s="2" t="s">
        <v>445</v>
      </c>
      <c r="D237" s="2" t="s">
        <v>39</v>
      </c>
      <c r="E237" s="2" t="s">
        <v>720</v>
      </c>
      <c r="F237" s="2" t="s">
        <v>708</v>
      </c>
      <c r="G237" s="2" t="s">
        <v>257</v>
      </c>
      <c r="H237" s="2" t="n">
        <v>4.875</v>
      </c>
      <c r="I237" s="2" t="n">
        <v>1950</v>
      </c>
      <c r="J237" s="2" t="n">
        <v>4.987</v>
      </c>
      <c r="K237" s="2" t="n">
        <v>0.2475</v>
      </c>
      <c r="L237" s="2" t="n">
        <v>4640</v>
      </c>
      <c r="M237" s="2" t="n">
        <v>70</v>
      </c>
      <c r="N237" s="2" t="n">
        <v>-248</v>
      </c>
      <c r="O237" s="2" t="n">
        <v>35</v>
      </c>
      <c r="P237" s="2" t="s">
        <v>704</v>
      </c>
      <c r="Q237" s="2" t="s">
        <v>71</v>
      </c>
      <c r="R237" s="2" t="s">
        <v>700</v>
      </c>
      <c r="S237" s="2" t="n">
        <v>4.812</v>
      </c>
      <c r="T237" s="2"/>
      <c r="U237" s="2"/>
      <c r="V237" s="2" t="s">
        <v>71</v>
      </c>
    </row>
    <row r="238" customFormat="false" ht="15" hidden="false" customHeight="false" outlineLevel="0" collapsed="false">
      <c r="A238" s="2" t="s">
        <v>706</v>
      </c>
      <c r="B238" s="2" t="s">
        <v>757</v>
      </c>
      <c r="C238" s="2" t="s">
        <v>456</v>
      </c>
      <c r="D238" s="2" t="s">
        <v>39</v>
      </c>
      <c r="E238" s="2" t="s">
        <v>720</v>
      </c>
      <c r="F238" s="2" t="s">
        <v>708</v>
      </c>
      <c r="G238" s="2" t="s">
        <v>257</v>
      </c>
      <c r="H238" s="2" t="n">
        <v>5.005</v>
      </c>
      <c r="I238" s="2" t="n">
        <v>1950</v>
      </c>
      <c r="J238" s="2" t="n">
        <v>5.142</v>
      </c>
      <c r="K238" s="2" t="n">
        <v>0.2515</v>
      </c>
      <c r="L238" s="2" t="n">
        <v>4770</v>
      </c>
      <c r="M238" s="2" t="n">
        <v>70</v>
      </c>
      <c r="N238" s="2" t="n">
        <v>-248</v>
      </c>
      <c r="O238" s="2" t="n">
        <v>35</v>
      </c>
      <c r="P238" s="2" t="s">
        <v>704</v>
      </c>
      <c r="Q238" s="2" t="s">
        <v>71</v>
      </c>
      <c r="R238" s="2" t="s">
        <v>700</v>
      </c>
      <c r="S238" s="2" t="n">
        <v>4.984</v>
      </c>
      <c r="T238" s="2"/>
      <c r="U238" s="2"/>
      <c r="V238" s="2" t="s">
        <v>71</v>
      </c>
    </row>
    <row r="239" customFormat="false" ht="15" hidden="false" customHeight="false" outlineLevel="0" collapsed="false">
      <c r="A239" s="2" t="s">
        <v>706</v>
      </c>
      <c r="B239" s="2" t="s">
        <v>758</v>
      </c>
      <c r="C239" s="2" t="s">
        <v>465</v>
      </c>
      <c r="D239" s="2" t="s">
        <v>39</v>
      </c>
      <c r="E239" s="2" t="s">
        <v>720</v>
      </c>
      <c r="F239" s="2" t="s">
        <v>708</v>
      </c>
      <c r="G239" s="2" t="s">
        <v>257</v>
      </c>
      <c r="H239" s="2" t="n">
        <v>5.035</v>
      </c>
      <c r="I239" s="2" t="n">
        <v>1950</v>
      </c>
      <c r="J239" s="2" t="n">
        <v>5.131</v>
      </c>
      <c r="K239" s="2" t="n">
        <v>0.3015</v>
      </c>
      <c r="L239" s="2" t="n">
        <v>4763</v>
      </c>
      <c r="M239" s="2" t="n">
        <v>110</v>
      </c>
      <c r="N239" s="2" t="n">
        <v>-248</v>
      </c>
      <c r="O239" s="2" t="n">
        <v>35</v>
      </c>
      <c r="P239" s="2" t="s">
        <v>704</v>
      </c>
      <c r="Q239" s="2" t="s">
        <v>71</v>
      </c>
      <c r="R239" s="2" t="s">
        <v>700</v>
      </c>
      <c r="S239" s="2" t="n">
        <v>4.976</v>
      </c>
      <c r="T239" s="2"/>
      <c r="U239" s="2"/>
      <c r="V239" s="2" t="s">
        <v>71</v>
      </c>
    </row>
    <row r="240" customFormat="false" ht="15" hidden="false" customHeight="false" outlineLevel="0" collapsed="false">
      <c r="A240" s="2" t="s">
        <v>706</v>
      </c>
      <c r="B240" s="2" t="s">
        <v>759</v>
      </c>
      <c r="C240" s="2" t="s">
        <v>452</v>
      </c>
      <c r="D240" s="2" t="s">
        <v>39</v>
      </c>
      <c r="E240" s="2" t="s">
        <v>720</v>
      </c>
      <c r="F240" s="2" t="s">
        <v>708</v>
      </c>
      <c r="G240" s="2" t="s">
        <v>257</v>
      </c>
      <c r="H240" s="2" t="n">
        <v>5.055</v>
      </c>
      <c r="I240" s="2" t="n">
        <v>1950</v>
      </c>
      <c r="J240" s="2" t="n">
        <v>5.145</v>
      </c>
      <c r="K240" s="2" t="n">
        <v>0.2985</v>
      </c>
      <c r="L240" s="2" t="n">
        <v>4775</v>
      </c>
      <c r="M240" s="2" t="n">
        <v>107.5</v>
      </c>
      <c r="N240" s="2" t="n">
        <v>-248</v>
      </c>
      <c r="O240" s="2" t="n">
        <v>35</v>
      </c>
      <c r="P240" s="2" t="s">
        <v>704</v>
      </c>
      <c r="Q240" s="2" t="s">
        <v>71</v>
      </c>
      <c r="R240" s="2" t="s">
        <v>700</v>
      </c>
      <c r="S240" s="2" t="n">
        <v>4.991</v>
      </c>
      <c r="T240" s="2"/>
      <c r="U240" s="2"/>
      <c r="V240" s="2" t="s">
        <v>71</v>
      </c>
    </row>
    <row r="241" customFormat="false" ht="15" hidden="false" customHeight="false" outlineLevel="0" collapsed="false">
      <c r="A241" s="2" t="s">
        <v>706</v>
      </c>
      <c r="B241" s="2" t="s">
        <v>760</v>
      </c>
      <c r="C241" s="2" t="s">
        <v>449</v>
      </c>
      <c r="D241" s="2" t="s">
        <v>39</v>
      </c>
      <c r="E241" s="2" t="s">
        <v>708</v>
      </c>
      <c r="F241" s="2" t="s">
        <v>708</v>
      </c>
      <c r="G241" s="2" t="s">
        <v>393</v>
      </c>
      <c r="H241" s="2" t="n">
        <v>5.146</v>
      </c>
      <c r="I241" s="2" t="n">
        <v>1950</v>
      </c>
      <c r="J241" s="2" t="n">
        <v>5.146</v>
      </c>
      <c r="K241" s="2" t="n">
        <v>0.04</v>
      </c>
      <c r="L241" s="2"/>
      <c r="M241" s="2"/>
      <c r="N241" s="2"/>
      <c r="O241" s="2"/>
      <c r="P241" s="2"/>
      <c r="Q241" s="2" t="s">
        <v>71</v>
      </c>
      <c r="R241" s="2" t="s">
        <v>700</v>
      </c>
      <c r="S241" s="2" t="n">
        <v>5.146</v>
      </c>
      <c r="T241" s="2"/>
      <c r="U241" s="2"/>
      <c r="V241" s="2" t="s">
        <v>71</v>
      </c>
    </row>
    <row r="242" customFormat="false" ht="15" hidden="false" customHeight="false" outlineLevel="0" collapsed="false">
      <c r="A242" s="2" t="s">
        <v>706</v>
      </c>
      <c r="B242" s="2" t="s">
        <v>761</v>
      </c>
      <c r="C242" s="2" t="s">
        <v>473</v>
      </c>
      <c r="D242" s="2" t="s">
        <v>450</v>
      </c>
      <c r="E242" s="2" t="s">
        <v>708</v>
      </c>
      <c r="F242" s="2" t="s">
        <v>708</v>
      </c>
      <c r="G242" s="2" t="s">
        <v>393</v>
      </c>
      <c r="H242" s="2" t="n">
        <v>5.17</v>
      </c>
      <c r="I242" s="2" t="n">
        <v>1950</v>
      </c>
      <c r="J242" s="2" t="n">
        <v>5.17</v>
      </c>
      <c r="K242" s="2" t="n">
        <v>0.043</v>
      </c>
      <c r="L242" s="2"/>
      <c r="M242" s="2"/>
      <c r="N242" s="2"/>
      <c r="O242" s="2"/>
      <c r="P242" s="2"/>
      <c r="Q242" s="2" t="s">
        <v>71</v>
      </c>
      <c r="R242" s="2" t="s">
        <v>700</v>
      </c>
      <c r="S242" s="2" t="n">
        <v>5.17</v>
      </c>
      <c r="T242" s="2"/>
      <c r="U242" s="2"/>
      <c r="V242" s="2" t="s">
        <v>43</v>
      </c>
    </row>
    <row r="243" customFormat="false" ht="15" hidden="false" customHeight="false" outlineLevel="0" collapsed="false">
      <c r="A243" s="2" t="s">
        <v>706</v>
      </c>
      <c r="B243" s="2" t="s">
        <v>762</v>
      </c>
      <c r="C243" s="2" t="s">
        <v>474</v>
      </c>
      <c r="D243" s="2" t="s">
        <v>450</v>
      </c>
      <c r="E243" s="2" t="s">
        <v>708</v>
      </c>
      <c r="F243" s="2" t="s">
        <v>708</v>
      </c>
      <c r="G243" s="2" t="s">
        <v>393</v>
      </c>
      <c r="H243" s="2" t="n">
        <v>5.178</v>
      </c>
      <c r="I243" s="2" t="n">
        <v>1950</v>
      </c>
      <c r="J243" s="2" t="n">
        <v>5.178</v>
      </c>
      <c r="K243" s="2" t="n">
        <v>0.037</v>
      </c>
      <c r="L243" s="2"/>
      <c r="M243" s="2"/>
      <c r="N243" s="2"/>
      <c r="O243" s="2"/>
      <c r="P243" s="2"/>
      <c r="Q243" s="2" t="s">
        <v>71</v>
      </c>
      <c r="R243" s="2" t="s">
        <v>700</v>
      </c>
      <c r="S243" s="2" t="n">
        <v>5.178</v>
      </c>
      <c r="T243" s="2"/>
      <c r="U243" s="2"/>
      <c r="V243" s="2" t="s">
        <v>43</v>
      </c>
    </row>
    <row r="244" customFormat="false" ht="15" hidden="false" customHeight="false" outlineLevel="0" collapsed="false">
      <c r="A244" s="2" t="s">
        <v>706</v>
      </c>
      <c r="B244" s="2" t="s">
        <v>763</v>
      </c>
      <c r="C244" s="2" t="s">
        <v>454</v>
      </c>
      <c r="D244" s="2" t="s">
        <v>450</v>
      </c>
      <c r="E244" s="2" t="s">
        <v>708</v>
      </c>
      <c r="F244" s="2" t="s">
        <v>708</v>
      </c>
      <c r="G244" s="2" t="s">
        <v>393</v>
      </c>
      <c r="H244" s="2" t="n">
        <v>5.188</v>
      </c>
      <c r="I244" s="2" t="n">
        <v>1950</v>
      </c>
      <c r="J244" s="2" t="n">
        <v>5.188</v>
      </c>
      <c r="K244" s="2" t="n">
        <v>0.047</v>
      </c>
      <c r="L244" s="2"/>
      <c r="M244" s="2"/>
      <c r="N244" s="2"/>
      <c r="O244" s="2"/>
      <c r="P244" s="2"/>
      <c r="Q244" s="2" t="s">
        <v>71</v>
      </c>
      <c r="R244" s="2" t="s">
        <v>700</v>
      </c>
      <c r="S244" s="2" t="n">
        <v>5.188</v>
      </c>
      <c r="T244" s="2"/>
      <c r="U244" s="2"/>
      <c r="V244" s="2" t="s">
        <v>43</v>
      </c>
    </row>
    <row r="245" customFormat="false" ht="15" hidden="false" customHeight="false" outlineLevel="0" collapsed="false">
      <c r="A245" s="2" t="s">
        <v>706</v>
      </c>
      <c r="B245" s="2" t="s">
        <v>764</v>
      </c>
      <c r="C245" s="2" t="s">
        <v>461</v>
      </c>
      <c r="D245" s="2" t="s">
        <v>450</v>
      </c>
      <c r="E245" s="2" t="s">
        <v>708</v>
      </c>
      <c r="F245" s="2" t="s">
        <v>708</v>
      </c>
      <c r="G245" s="2" t="s">
        <v>393</v>
      </c>
      <c r="H245" s="2" t="n">
        <v>5.247</v>
      </c>
      <c r="I245" s="2" t="n">
        <v>1950</v>
      </c>
      <c r="J245" s="2" t="n">
        <v>5.247</v>
      </c>
      <c r="K245" s="2" t="n">
        <v>0.041</v>
      </c>
      <c r="L245" s="2"/>
      <c r="M245" s="2"/>
      <c r="N245" s="2"/>
      <c r="O245" s="2"/>
      <c r="P245" s="2"/>
      <c r="Q245" s="2" t="s">
        <v>71</v>
      </c>
      <c r="R245" s="2" t="s">
        <v>700</v>
      </c>
      <c r="S245" s="2" t="n">
        <v>5.247</v>
      </c>
      <c r="T245" s="2"/>
      <c r="U245" s="2"/>
      <c r="V245" s="2" t="s">
        <v>43</v>
      </c>
    </row>
    <row r="246" customFormat="false" ht="15" hidden="false" customHeight="false" outlineLevel="0" collapsed="false">
      <c r="A246" s="2" t="s">
        <v>706</v>
      </c>
      <c r="B246" s="2" t="s">
        <v>765</v>
      </c>
      <c r="C246" s="2" t="s">
        <v>483</v>
      </c>
      <c r="D246" s="2" t="s">
        <v>39</v>
      </c>
      <c r="E246" s="2" t="s">
        <v>720</v>
      </c>
      <c r="F246" s="2" t="s">
        <v>708</v>
      </c>
      <c r="G246" s="2" t="s">
        <v>257</v>
      </c>
      <c r="H246" s="2" t="n">
        <v>5.34</v>
      </c>
      <c r="I246" s="2" t="n">
        <v>1950</v>
      </c>
      <c r="J246" s="2" t="n">
        <v>5.406</v>
      </c>
      <c r="K246" s="2" t="n">
        <v>0.238</v>
      </c>
      <c r="L246" s="2" t="n">
        <v>4990</v>
      </c>
      <c r="M246" s="2" t="n">
        <v>80</v>
      </c>
      <c r="N246" s="2" t="n">
        <v>-248</v>
      </c>
      <c r="O246" s="2" t="n">
        <v>35</v>
      </c>
      <c r="P246" s="2" t="s">
        <v>704</v>
      </c>
      <c r="Q246" s="2" t="s">
        <v>71</v>
      </c>
      <c r="R246" s="2" t="s">
        <v>700</v>
      </c>
      <c r="S246" s="2" t="n">
        <v>5.246</v>
      </c>
      <c r="T246" s="2"/>
      <c r="U246" s="2"/>
      <c r="V246" s="2" t="s">
        <v>71</v>
      </c>
    </row>
    <row r="247" customFormat="false" ht="15" hidden="false" customHeight="false" outlineLevel="0" collapsed="false">
      <c r="A247" s="2" t="s">
        <v>706</v>
      </c>
      <c r="B247" s="2" t="s">
        <v>766</v>
      </c>
      <c r="C247" s="2" t="s">
        <v>460</v>
      </c>
      <c r="D247" s="2" t="s">
        <v>39</v>
      </c>
      <c r="E247" s="2" t="s">
        <v>720</v>
      </c>
      <c r="F247" s="2" t="s">
        <v>708</v>
      </c>
      <c r="G247" s="2" t="s">
        <v>257</v>
      </c>
      <c r="H247" s="2" t="n">
        <v>5.34</v>
      </c>
      <c r="I247" s="2" t="n">
        <v>1950</v>
      </c>
      <c r="J247" s="2" t="n">
        <v>5.406</v>
      </c>
      <c r="K247" s="2" t="n">
        <v>0.238</v>
      </c>
      <c r="L247" s="2" t="n">
        <v>4990</v>
      </c>
      <c r="M247" s="2" t="n">
        <v>80</v>
      </c>
      <c r="N247" s="2" t="n">
        <v>-248</v>
      </c>
      <c r="O247" s="2" t="n">
        <v>35</v>
      </c>
      <c r="P247" s="2" t="s">
        <v>704</v>
      </c>
      <c r="Q247" s="2" t="s">
        <v>71</v>
      </c>
      <c r="R247" s="2" t="s">
        <v>700</v>
      </c>
      <c r="S247" s="2" t="n">
        <v>5.246</v>
      </c>
      <c r="T247" s="2"/>
      <c r="U247" s="2"/>
      <c r="V247" s="2" t="s">
        <v>71</v>
      </c>
    </row>
    <row r="248" customFormat="false" ht="15" hidden="false" customHeight="false" outlineLevel="0" collapsed="false">
      <c r="A248" s="2" t="s">
        <v>706</v>
      </c>
      <c r="B248" s="2" t="s">
        <v>767</v>
      </c>
      <c r="C248" s="2" t="s">
        <v>453</v>
      </c>
      <c r="D248" s="2" t="s">
        <v>39</v>
      </c>
      <c r="E248" s="2" t="s">
        <v>720</v>
      </c>
      <c r="F248" s="2" t="s">
        <v>708</v>
      </c>
      <c r="G248" s="2" t="s">
        <v>257</v>
      </c>
      <c r="H248" s="2" t="n">
        <v>5.39</v>
      </c>
      <c r="I248" s="2" t="n">
        <v>1950</v>
      </c>
      <c r="J248" s="2" t="n">
        <v>5.427</v>
      </c>
      <c r="K248" s="2" t="n">
        <v>0.2335</v>
      </c>
      <c r="L248" s="2" t="n">
        <v>5010</v>
      </c>
      <c r="M248" s="2" t="n">
        <v>80</v>
      </c>
      <c r="N248" s="2" t="n">
        <v>-248</v>
      </c>
      <c r="O248" s="2" t="n">
        <v>35</v>
      </c>
      <c r="P248" s="2" t="s">
        <v>704</v>
      </c>
      <c r="Q248" s="2" t="s">
        <v>71</v>
      </c>
      <c r="R248" s="2" t="s">
        <v>700</v>
      </c>
      <c r="S248" s="2" t="n">
        <v>5.272</v>
      </c>
      <c r="T248" s="2"/>
      <c r="U248" s="2"/>
      <c r="V248" s="2" t="s">
        <v>71</v>
      </c>
    </row>
    <row r="249" customFormat="false" ht="15" hidden="false" customHeight="false" outlineLevel="0" collapsed="false">
      <c r="A249" s="2" t="s">
        <v>706</v>
      </c>
      <c r="B249" s="2" t="s">
        <v>768</v>
      </c>
      <c r="C249" s="2" t="s">
        <v>473</v>
      </c>
      <c r="D249" s="2" t="s">
        <v>39</v>
      </c>
      <c r="E249" s="2" t="s">
        <v>708</v>
      </c>
      <c r="F249" s="2" t="s">
        <v>708</v>
      </c>
      <c r="G249" s="2" t="s">
        <v>393</v>
      </c>
      <c r="H249" s="2" t="n">
        <v>5.538</v>
      </c>
      <c r="I249" s="2" t="n">
        <v>1950</v>
      </c>
      <c r="J249" s="2" t="n">
        <v>5.538</v>
      </c>
      <c r="K249" s="2" t="n">
        <v>0.048</v>
      </c>
      <c r="L249" s="2"/>
      <c r="M249" s="2"/>
      <c r="N249" s="2"/>
      <c r="O249" s="2"/>
      <c r="P249" s="2"/>
      <c r="Q249" s="2" t="s">
        <v>71</v>
      </c>
      <c r="R249" s="2" t="s">
        <v>700</v>
      </c>
      <c r="S249" s="2" t="n">
        <v>5.538</v>
      </c>
      <c r="T249" s="2"/>
      <c r="U249" s="2"/>
      <c r="V249" s="2" t="s">
        <v>71</v>
      </c>
    </row>
    <row r="250" customFormat="false" ht="15" hidden="false" customHeight="false" outlineLevel="0" collapsed="false">
      <c r="A250" s="2" t="s">
        <v>706</v>
      </c>
      <c r="B250" s="2" t="s">
        <v>769</v>
      </c>
      <c r="C250" s="2" t="s">
        <v>452</v>
      </c>
      <c r="D250" s="2" t="s">
        <v>39</v>
      </c>
      <c r="E250" s="2" t="s">
        <v>708</v>
      </c>
      <c r="F250" s="2" t="s">
        <v>708</v>
      </c>
      <c r="G250" s="2" t="s">
        <v>393</v>
      </c>
      <c r="H250" s="2" t="n">
        <v>5.541</v>
      </c>
      <c r="I250" s="2" t="n">
        <v>1950</v>
      </c>
      <c r="J250" s="2" t="n">
        <v>5.541</v>
      </c>
      <c r="K250" s="2" t="n">
        <v>0.041</v>
      </c>
      <c r="L250" s="2"/>
      <c r="M250" s="2"/>
      <c r="N250" s="2"/>
      <c r="O250" s="2"/>
      <c r="P250" s="2"/>
      <c r="Q250" s="2" t="s">
        <v>71</v>
      </c>
      <c r="R250" s="2" t="s">
        <v>700</v>
      </c>
      <c r="S250" s="2" t="n">
        <v>5.541</v>
      </c>
      <c r="T250" s="2"/>
      <c r="U250" s="2"/>
      <c r="V250" s="2" t="s">
        <v>71</v>
      </c>
    </row>
    <row r="251" customFormat="false" ht="15" hidden="false" customHeight="false" outlineLevel="0" collapsed="false">
      <c r="A251" s="2" t="s">
        <v>706</v>
      </c>
      <c r="B251" s="2" t="s">
        <v>770</v>
      </c>
      <c r="C251" s="2" t="s">
        <v>484</v>
      </c>
      <c r="D251" s="2" t="s">
        <v>450</v>
      </c>
      <c r="E251" s="2" t="s">
        <v>720</v>
      </c>
      <c r="F251" s="2" t="s">
        <v>708</v>
      </c>
      <c r="G251" s="2" t="s">
        <v>257</v>
      </c>
      <c r="H251" s="2" t="n">
        <v>5.575</v>
      </c>
      <c r="I251" s="2" t="n">
        <v>1950</v>
      </c>
      <c r="J251" s="2" t="n">
        <v>5.649</v>
      </c>
      <c r="K251" s="2" t="n">
        <v>0.2105</v>
      </c>
      <c r="L251" s="2" t="n">
        <v>5216</v>
      </c>
      <c r="M251" s="2" t="n">
        <v>67.5</v>
      </c>
      <c r="N251" s="2" t="n">
        <v>-248</v>
      </c>
      <c r="O251" s="2" t="n">
        <v>35</v>
      </c>
      <c r="P251" s="2" t="s">
        <v>704</v>
      </c>
      <c r="Q251" s="2" t="s">
        <v>71</v>
      </c>
      <c r="R251" s="2" t="s">
        <v>700</v>
      </c>
      <c r="S251" s="2" t="n">
        <v>5.502</v>
      </c>
      <c r="T251" s="2"/>
      <c r="U251" s="2"/>
      <c r="V251" s="2" t="s">
        <v>43</v>
      </c>
    </row>
    <row r="252" customFormat="false" ht="15" hidden="false" customHeight="false" outlineLevel="0" collapsed="false">
      <c r="A252" s="2" t="s">
        <v>706</v>
      </c>
      <c r="B252" s="2" t="s">
        <v>771</v>
      </c>
      <c r="C252" s="2" t="s">
        <v>449</v>
      </c>
      <c r="D252" s="2" t="s">
        <v>450</v>
      </c>
      <c r="E252" s="2" t="s">
        <v>720</v>
      </c>
      <c r="F252" s="2" t="s">
        <v>708</v>
      </c>
      <c r="G252" s="2" t="s">
        <v>257</v>
      </c>
      <c r="H252" s="2" t="n">
        <v>5.81</v>
      </c>
      <c r="I252" s="2" t="n">
        <v>1950</v>
      </c>
      <c r="J252" s="2" t="n">
        <v>5.9</v>
      </c>
      <c r="K252" s="2" t="n">
        <v>0.26</v>
      </c>
      <c r="L252" s="2" t="n">
        <v>5450</v>
      </c>
      <c r="M252" s="2" t="n">
        <v>90</v>
      </c>
      <c r="N252" s="2" t="n">
        <v>-248</v>
      </c>
      <c r="O252" s="2" t="n">
        <v>35</v>
      </c>
      <c r="P252" s="2" t="s">
        <v>704</v>
      </c>
      <c r="Q252" s="2" t="s">
        <v>71</v>
      </c>
      <c r="R252" s="2" t="s">
        <v>700</v>
      </c>
      <c r="S252" s="2" t="n">
        <v>5.754</v>
      </c>
      <c r="T252" s="2"/>
      <c r="U252" s="2"/>
      <c r="V252" s="2" t="s">
        <v>43</v>
      </c>
    </row>
    <row r="253" customFormat="false" ht="15" hidden="false" customHeight="false" outlineLevel="0" collapsed="false">
      <c r="A253" s="2" t="s">
        <v>706</v>
      </c>
      <c r="B253" s="2" t="s">
        <v>772</v>
      </c>
      <c r="C253" s="2" t="s">
        <v>454</v>
      </c>
      <c r="D253" s="2" t="s">
        <v>450</v>
      </c>
      <c r="E253" s="2" t="s">
        <v>720</v>
      </c>
      <c r="F253" s="2" t="s">
        <v>708</v>
      </c>
      <c r="G253" s="2" t="s">
        <v>257</v>
      </c>
      <c r="H253" s="2" t="n">
        <v>5.85</v>
      </c>
      <c r="I253" s="2" t="n">
        <v>1950</v>
      </c>
      <c r="J253" s="2" t="n">
        <v>5.936</v>
      </c>
      <c r="K253" s="2" t="n">
        <v>0.243</v>
      </c>
      <c r="L253" s="2" t="n">
        <v>5480</v>
      </c>
      <c r="M253" s="2" t="n">
        <v>80</v>
      </c>
      <c r="N253" s="2" t="n">
        <v>-248</v>
      </c>
      <c r="O253" s="2" t="n">
        <v>35</v>
      </c>
      <c r="P253" s="2" t="s">
        <v>704</v>
      </c>
      <c r="Q253" s="2" t="s">
        <v>71</v>
      </c>
      <c r="R253" s="2" t="s">
        <v>700</v>
      </c>
      <c r="S253" s="2" t="n">
        <v>5.784</v>
      </c>
      <c r="T253" s="2"/>
      <c r="U253" s="2"/>
      <c r="V253" s="2" t="s">
        <v>43</v>
      </c>
    </row>
    <row r="254" customFormat="false" ht="15" hidden="false" customHeight="false" outlineLevel="0" collapsed="false">
      <c r="A254" s="2" t="s">
        <v>706</v>
      </c>
      <c r="B254" s="2" t="s">
        <v>773</v>
      </c>
      <c r="C254" s="2" t="s">
        <v>465</v>
      </c>
      <c r="D254" s="2" t="s">
        <v>450</v>
      </c>
      <c r="E254" s="2" t="s">
        <v>708</v>
      </c>
      <c r="F254" s="2" t="s">
        <v>708</v>
      </c>
      <c r="G254" s="2" t="s">
        <v>393</v>
      </c>
      <c r="H254" s="2" t="n">
        <v>5.968</v>
      </c>
      <c r="I254" s="2" t="n">
        <v>1950</v>
      </c>
      <c r="J254" s="2" t="n">
        <v>5.968</v>
      </c>
      <c r="K254" s="2" t="n">
        <v>0.052</v>
      </c>
      <c r="L254" s="2"/>
      <c r="M254" s="2"/>
      <c r="N254" s="2"/>
      <c r="O254" s="2"/>
      <c r="P254" s="2"/>
      <c r="Q254" s="2" t="s">
        <v>71</v>
      </c>
      <c r="R254" s="2" t="s">
        <v>700</v>
      </c>
      <c r="S254" s="2" t="n">
        <v>5.968</v>
      </c>
      <c r="T254" s="2"/>
      <c r="U254" s="2"/>
      <c r="V254" s="2" t="s">
        <v>43</v>
      </c>
    </row>
    <row r="255" customFormat="false" ht="15" hidden="false" customHeight="false" outlineLevel="0" collapsed="false">
      <c r="A255" s="2" t="s">
        <v>706</v>
      </c>
      <c r="B255" s="2" t="s">
        <v>774</v>
      </c>
      <c r="C255" s="2" t="s">
        <v>471</v>
      </c>
      <c r="D255" s="2" t="s">
        <v>39</v>
      </c>
      <c r="E255" s="2" t="s">
        <v>720</v>
      </c>
      <c r="F255" s="2" t="s">
        <v>708</v>
      </c>
      <c r="G255" s="2" t="s">
        <v>257</v>
      </c>
      <c r="H255" s="2" t="n">
        <v>6</v>
      </c>
      <c r="I255" s="2" t="n">
        <v>1950</v>
      </c>
      <c r="J255" s="2" t="n">
        <v>6.045</v>
      </c>
      <c r="K255" s="2" t="n">
        <v>0.23</v>
      </c>
      <c r="L255" s="2" t="n">
        <v>5580</v>
      </c>
      <c r="M255" s="2" t="n">
        <v>80</v>
      </c>
      <c r="N255" s="2" t="n">
        <v>-248</v>
      </c>
      <c r="O255" s="2" t="n">
        <v>35</v>
      </c>
      <c r="P255" s="2" t="s">
        <v>704</v>
      </c>
      <c r="Q255" s="2" t="s">
        <v>71</v>
      </c>
      <c r="R255" s="2" t="s">
        <v>700</v>
      </c>
      <c r="S255" s="2" t="n">
        <v>5.895</v>
      </c>
      <c r="T255" s="2"/>
      <c r="U255" s="2"/>
      <c r="V255" s="2" t="s">
        <v>43</v>
      </c>
    </row>
    <row r="256" customFormat="false" ht="15" hidden="false" customHeight="false" outlineLevel="0" collapsed="false">
      <c r="A256" s="2" t="s">
        <v>706</v>
      </c>
      <c r="B256" s="2" t="s">
        <v>775</v>
      </c>
      <c r="C256" s="2" t="s">
        <v>461</v>
      </c>
      <c r="D256" s="2" t="s">
        <v>39</v>
      </c>
      <c r="E256" s="2" t="s">
        <v>720</v>
      </c>
      <c r="F256" s="2" t="s">
        <v>708</v>
      </c>
      <c r="G256" s="2" t="s">
        <v>257</v>
      </c>
      <c r="H256" s="2" t="n">
        <v>6.135</v>
      </c>
      <c r="I256" s="2" t="n">
        <v>1950</v>
      </c>
      <c r="J256" s="2" t="n">
        <v>6.212</v>
      </c>
      <c r="K256" s="2" t="n">
        <v>0.2165</v>
      </c>
      <c r="L256" s="2" t="n">
        <v>5740</v>
      </c>
      <c r="M256" s="2" t="n">
        <v>70</v>
      </c>
      <c r="N256" s="2" t="n">
        <v>-248</v>
      </c>
      <c r="O256" s="2" t="n">
        <v>35</v>
      </c>
      <c r="P256" s="2" t="s">
        <v>704</v>
      </c>
      <c r="Q256" s="2" t="s">
        <v>71</v>
      </c>
      <c r="R256" s="2" t="s">
        <v>700</v>
      </c>
      <c r="S256" s="2" t="n">
        <v>6.07</v>
      </c>
      <c r="T256" s="2"/>
      <c r="U256" s="2"/>
      <c r="V256" s="2" t="s">
        <v>43</v>
      </c>
    </row>
    <row r="257" customFormat="false" ht="15" hidden="false" customHeight="false" outlineLevel="0" collapsed="false">
      <c r="A257" s="2" t="s">
        <v>706</v>
      </c>
      <c r="B257" s="2" t="s">
        <v>776</v>
      </c>
      <c r="C257" s="2" t="s">
        <v>453</v>
      </c>
      <c r="D257" s="2" t="s">
        <v>39</v>
      </c>
      <c r="E257" s="2" t="s">
        <v>720</v>
      </c>
      <c r="F257" s="2" t="s">
        <v>708</v>
      </c>
      <c r="G257" s="2" t="s">
        <v>257</v>
      </c>
      <c r="H257" s="2" t="n">
        <v>6.22</v>
      </c>
      <c r="I257" s="2" t="n">
        <v>1950</v>
      </c>
      <c r="J257" s="2" t="n">
        <v>6.288</v>
      </c>
      <c r="K257" s="2" t="n">
        <v>0.2395</v>
      </c>
      <c r="L257" s="2" t="n">
        <v>5810</v>
      </c>
      <c r="M257" s="2" t="n">
        <v>80</v>
      </c>
      <c r="N257" s="2" t="n">
        <v>-248</v>
      </c>
      <c r="O257" s="2" t="n">
        <v>35</v>
      </c>
      <c r="P257" s="2" t="s">
        <v>704</v>
      </c>
      <c r="Q257" s="2" t="s">
        <v>71</v>
      </c>
      <c r="R257" s="2" t="s">
        <v>700</v>
      </c>
      <c r="S257" s="2" t="n">
        <v>6.14</v>
      </c>
      <c r="T257" s="2"/>
      <c r="U257" s="2"/>
      <c r="V257" s="2" t="s">
        <v>43</v>
      </c>
    </row>
    <row r="258" customFormat="false" ht="15" hidden="false" customHeight="false" outlineLevel="0" collapsed="false">
      <c r="A258" s="2" t="s">
        <v>706</v>
      </c>
      <c r="B258" s="2" t="s">
        <v>777</v>
      </c>
      <c r="C258" s="2" t="s">
        <v>471</v>
      </c>
      <c r="D258" s="2" t="s">
        <v>39</v>
      </c>
      <c r="E258" s="2" t="s">
        <v>708</v>
      </c>
      <c r="F258" s="2" t="s">
        <v>708</v>
      </c>
      <c r="G258" s="2" t="s">
        <v>393</v>
      </c>
      <c r="H258" s="2" t="n">
        <v>6.252</v>
      </c>
      <c r="I258" s="2" t="n">
        <v>1950</v>
      </c>
      <c r="J258" s="2" t="n">
        <v>6.252</v>
      </c>
      <c r="K258" s="2" t="n">
        <v>0.044</v>
      </c>
      <c r="L258" s="2"/>
      <c r="M258" s="2"/>
      <c r="N258" s="2"/>
      <c r="O258" s="2"/>
      <c r="P258" s="2"/>
      <c r="Q258" s="2" t="s">
        <v>71</v>
      </c>
      <c r="R258" s="2" t="s">
        <v>700</v>
      </c>
      <c r="S258" s="2" t="n">
        <v>6.252</v>
      </c>
      <c r="T258" s="2"/>
      <c r="U258" s="2"/>
      <c r="V258" s="2" t="s">
        <v>43</v>
      </c>
    </row>
    <row r="259" customFormat="false" ht="15" hidden="false" customHeight="false" outlineLevel="0" collapsed="false">
      <c r="A259" s="2" t="s">
        <v>706</v>
      </c>
      <c r="B259" s="2" t="s">
        <v>778</v>
      </c>
      <c r="C259" s="2" t="s">
        <v>449</v>
      </c>
      <c r="D259" s="2" t="s">
        <v>450</v>
      </c>
      <c r="E259" s="2" t="s">
        <v>708</v>
      </c>
      <c r="F259" s="2" t="s">
        <v>708</v>
      </c>
      <c r="G259" s="2" t="s">
        <v>393</v>
      </c>
      <c r="H259" s="2" t="n">
        <v>6.259</v>
      </c>
      <c r="I259" s="2" t="n">
        <v>1950</v>
      </c>
      <c r="J259" s="2" t="n">
        <v>6.259</v>
      </c>
      <c r="K259" s="2" t="n">
        <v>0.048</v>
      </c>
      <c r="L259" s="2"/>
      <c r="M259" s="2"/>
      <c r="N259" s="2"/>
      <c r="O259" s="2"/>
      <c r="P259" s="2"/>
      <c r="Q259" s="2" t="s">
        <v>71</v>
      </c>
      <c r="R259" s="2" t="s">
        <v>700</v>
      </c>
      <c r="S259" s="2" t="n">
        <v>6.259</v>
      </c>
      <c r="T259" s="2"/>
      <c r="U259" s="2"/>
      <c r="V259" s="2" t="s">
        <v>43</v>
      </c>
    </row>
    <row r="260" customFormat="false" ht="15" hidden="false" customHeight="false" outlineLevel="0" collapsed="false">
      <c r="A260" s="2" t="s">
        <v>706</v>
      </c>
      <c r="B260" s="2" t="s">
        <v>779</v>
      </c>
      <c r="C260" s="2" t="s">
        <v>445</v>
      </c>
      <c r="D260" s="2" t="s">
        <v>39</v>
      </c>
      <c r="E260" s="2" t="s">
        <v>708</v>
      </c>
      <c r="F260" s="2" t="s">
        <v>708</v>
      </c>
      <c r="G260" s="2" t="s">
        <v>393</v>
      </c>
      <c r="H260" s="2" t="n">
        <v>6.289</v>
      </c>
      <c r="I260" s="2" t="n">
        <v>1950</v>
      </c>
      <c r="J260" s="2" t="n">
        <v>6.289</v>
      </c>
      <c r="K260" s="2" t="n">
        <v>0.057</v>
      </c>
      <c r="L260" s="2"/>
      <c r="M260" s="2"/>
      <c r="N260" s="2"/>
      <c r="O260" s="2"/>
      <c r="P260" s="2"/>
      <c r="Q260" s="2" t="s">
        <v>71</v>
      </c>
      <c r="R260" s="2" t="s">
        <v>700</v>
      </c>
      <c r="S260" s="2" t="n">
        <v>6.289</v>
      </c>
      <c r="T260" s="2"/>
      <c r="U260" s="2"/>
      <c r="V260" s="2" t="s">
        <v>43</v>
      </c>
    </row>
    <row r="261" customFormat="false" ht="15" hidden="false" customHeight="false" outlineLevel="0" collapsed="false">
      <c r="A261" s="2" t="s">
        <v>706</v>
      </c>
      <c r="B261" s="2" t="s">
        <v>780</v>
      </c>
      <c r="C261" s="2" t="s">
        <v>454</v>
      </c>
      <c r="D261" s="2" t="s">
        <v>450</v>
      </c>
      <c r="E261" s="2" t="s">
        <v>708</v>
      </c>
      <c r="F261" s="2" t="s">
        <v>708</v>
      </c>
      <c r="G261" s="2" t="s">
        <v>393</v>
      </c>
      <c r="H261" s="2" t="n">
        <v>6.309</v>
      </c>
      <c r="I261" s="2" t="n">
        <v>1950</v>
      </c>
      <c r="J261" s="2" t="n">
        <v>6.309</v>
      </c>
      <c r="K261" s="2" t="n">
        <v>0.046</v>
      </c>
      <c r="L261" s="2"/>
      <c r="M261" s="2"/>
      <c r="N261" s="2"/>
      <c r="O261" s="2"/>
      <c r="P261" s="2"/>
      <c r="Q261" s="2" t="s">
        <v>71</v>
      </c>
      <c r="R261" s="2" t="s">
        <v>700</v>
      </c>
      <c r="S261" s="2" t="n">
        <v>6.309</v>
      </c>
      <c r="T261" s="2"/>
      <c r="U261" s="2"/>
      <c r="V261" s="2" t="s">
        <v>43</v>
      </c>
    </row>
    <row r="262" customFormat="false" ht="15" hidden="false" customHeight="false" outlineLevel="0" collapsed="false">
      <c r="A262" s="2" t="s">
        <v>706</v>
      </c>
      <c r="B262" s="2" t="s">
        <v>781</v>
      </c>
      <c r="C262" s="2" t="s">
        <v>484</v>
      </c>
      <c r="D262" s="2" t="s">
        <v>39</v>
      </c>
      <c r="E262" s="2" t="s">
        <v>708</v>
      </c>
      <c r="F262" s="2" t="s">
        <v>708</v>
      </c>
      <c r="G262" s="2" t="s">
        <v>393</v>
      </c>
      <c r="H262" s="2" t="n">
        <v>6.322</v>
      </c>
      <c r="I262" s="2" t="n">
        <v>1950</v>
      </c>
      <c r="J262" s="2" t="n">
        <v>6.322</v>
      </c>
      <c r="K262" s="2" t="n">
        <v>0.045</v>
      </c>
      <c r="L262" s="2"/>
      <c r="M262" s="2"/>
      <c r="N262" s="2"/>
      <c r="O262" s="2"/>
      <c r="P262" s="2"/>
      <c r="Q262" s="2" t="s">
        <v>71</v>
      </c>
      <c r="R262" s="2" t="s">
        <v>700</v>
      </c>
      <c r="S262" s="2" t="n">
        <v>6.322</v>
      </c>
      <c r="T262" s="2"/>
      <c r="U262" s="2"/>
      <c r="V262" s="2" t="s">
        <v>43</v>
      </c>
    </row>
    <row r="263" customFormat="false" ht="15" hidden="false" customHeight="false" outlineLevel="0" collapsed="false">
      <c r="A263" s="2" t="s">
        <v>706</v>
      </c>
      <c r="B263" s="2" t="s">
        <v>782</v>
      </c>
      <c r="C263" s="2" t="s">
        <v>445</v>
      </c>
      <c r="D263" s="2" t="s">
        <v>450</v>
      </c>
      <c r="E263" s="2" t="s">
        <v>708</v>
      </c>
      <c r="F263" s="2" t="s">
        <v>708</v>
      </c>
      <c r="G263" s="2" t="s">
        <v>393</v>
      </c>
      <c r="H263" s="2" t="n">
        <v>6.375</v>
      </c>
      <c r="I263" s="2" t="n">
        <v>1950</v>
      </c>
      <c r="J263" s="2" t="n">
        <v>6.375</v>
      </c>
      <c r="K263" s="2" t="n">
        <v>0.046</v>
      </c>
      <c r="L263" s="2"/>
      <c r="M263" s="2"/>
      <c r="N263" s="2"/>
      <c r="O263" s="2"/>
      <c r="P263" s="2"/>
      <c r="Q263" s="2" t="s">
        <v>71</v>
      </c>
      <c r="R263" s="2" t="s">
        <v>700</v>
      </c>
      <c r="S263" s="2" t="n">
        <v>6.375</v>
      </c>
      <c r="T263" s="2"/>
      <c r="U263" s="2"/>
      <c r="V263" s="2" t="s">
        <v>43</v>
      </c>
    </row>
    <row r="264" customFormat="false" ht="15" hidden="false" customHeight="false" outlineLevel="0" collapsed="false">
      <c r="A264" s="2" t="s">
        <v>706</v>
      </c>
      <c r="B264" s="2" t="s">
        <v>783</v>
      </c>
      <c r="C264" s="2" t="s">
        <v>449</v>
      </c>
      <c r="D264" s="2" t="s">
        <v>39</v>
      </c>
      <c r="E264" s="2" t="s">
        <v>708</v>
      </c>
      <c r="F264" s="2" t="s">
        <v>708</v>
      </c>
      <c r="G264" s="2" t="s">
        <v>393</v>
      </c>
      <c r="H264" s="2" t="n">
        <v>6.42</v>
      </c>
      <c r="I264" s="2" t="n">
        <v>1950</v>
      </c>
      <c r="J264" s="2" t="n">
        <v>6.42</v>
      </c>
      <c r="K264" s="2" t="n">
        <v>0.048</v>
      </c>
      <c r="L264" s="2"/>
      <c r="M264" s="2"/>
      <c r="N264" s="2"/>
      <c r="O264" s="2"/>
      <c r="P264" s="2"/>
      <c r="Q264" s="2" t="s">
        <v>71</v>
      </c>
      <c r="R264" s="2" t="s">
        <v>700</v>
      </c>
      <c r="S264" s="2" t="n">
        <v>6.42</v>
      </c>
      <c r="T264" s="2"/>
      <c r="U264" s="2"/>
      <c r="V264" s="2" t="s">
        <v>43</v>
      </c>
    </row>
    <row r="265" customFormat="false" ht="15" hidden="false" customHeight="false" outlineLevel="0" collapsed="false">
      <c r="A265" s="2" t="s">
        <v>706</v>
      </c>
      <c r="B265" s="2" t="s">
        <v>784</v>
      </c>
      <c r="C265" s="2" t="s">
        <v>471</v>
      </c>
      <c r="D265" s="2" t="s">
        <v>39</v>
      </c>
      <c r="E265" s="2" t="s">
        <v>708</v>
      </c>
      <c r="F265" s="2" t="s">
        <v>708</v>
      </c>
      <c r="G265" s="2" t="s">
        <v>393</v>
      </c>
      <c r="H265" s="2" t="n">
        <v>6.423</v>
      </c>
      <c r="I265" s="2" t="n">
        <v>1950</v>
      </c>
      <c r="J265" s="2" t="n">
        <v>6.423</v>
      </c>
      <c r="K265" s="2" t="n">
        <v>0.045</v>
      </c>
      <c r="L265" s="2"/>
      <c r="M265" s="2"/>
      <c r="N265" s="2"/>
      <c r="O265" s="2"/>
      <c r="P265" s="2"/>
      <c r="Q265" s="2" t="s">
        <v>71</v>
      </c>
      <c r="R265" s="2" t="s">
        <v>700</v>
      </c>
      <c r="S265" s="2" t="n">
        <v>6.423</v>
      </c>
      <c r="T265" s="2"/>
      <c r="U265" s="2"/>
      <c r="V265" s="2" t="s">
        <v>43</v>
      </c>
    </row>
    <row r="266" customFormat="false" ht="15" hidden="false" customHeight="false" outlineLevel="0" collapsed="false">
      <c r="A266" s="2" t="s">
        <v>706</v>
      </c>
      <c r="B266" s="2" t="s">
        <v>785</v>
      </c>
      <c r="C266" s="2" t="s">
        <v>445</v>
      </c>
      <c r="D266" s="2" t="s">
        <v>450</v>
      </c>
      <c r="E266" s="2" t="s">
        <v>720</v>
      </c>
      <c r="F266" s="2" t="s">
        <v>708</v>
      </c>
      <c r="G266" s="2" t="s">
        <v>257</v>
      </c>
      <c r="H266" s="2" t="n">
        <v>6.445</v>
      </c>
      <c r="I266" s="2" t="n">
        <v>1950</v>
      </c>
      <c r="J266" s="2" t="n">
        <v>6.508</v>
      </c>
      <c r="K266" s="2" t="n">
        <v>0.2035</v>
      </c>
      <c r="L266" s="2" t="n">
        <v>6020</v>
      </c>
      <c r="M266" s="2" t="n">
        <v>60</v>
      </c>
      <c r="N266" s="2" t="n">
        <v>-248</v>
      </c>
      <c r="O266" s="2" t="n">
        <v>35</v>
      </c>
      <c r="P266" s="2" t="s">
        <v>704</v>
      </c>
      <c r="Q266" s="2" t="s">
        <v>71</v>
      </c>
      <c r="R266" s="2" t="s">
        <v>700</v>
      </c>
      <c r="S266" s="2" t="n">
        <v>6.368</v>
      </c>
      <c r="T266" s="2"/>
      <c r="U266" s="2"/>
      <c r="V266" s="2" t="s">
        <v>43</v>
      </c>
    </row>
    <row r="267" customFormat="false" ht="15" hidden="false" customHeight="false" outlineLevel="0" collapsed="false">
      <c r="A267" s="2" t="s">
        <v>706</v>
      </c>
      <c r="B267" s="2" t="s">
        <v>786</v>
      </c>
      <c r="C267" s="2" t="s">
        <v>472</v>
      </c>
      <c r="D267" s="2" t="s">
        <v>450</v>
      </c>
      <c r="E267" s="2" t="s">
        <v>708</v>
      </c>
      <c r="F267" s="2" t="s">
        <v>708</v>
      </c>
      <c r="G267" s="2" t="s">
        <v>393</v>
      </c>
      <c r="H267" s="2" t="n">
        <v>6.499</v>
      </c>
      <c r="I267" s="2" t="n">
        <v>1950</v>
      </c>
      <c r="J267" s="2" t="n">
        <v>6.499</v>
      </c>
      <c r="K267" s="2" t="n">
        <v>0.064</v>
      </c>
      <c r="L267" s="2"/>
      <c r="M267" s="2"/>
      <c r="N267" s="2"/>
      <c r="O267" s="2"/>
      <c r="P267" s="2"/>
      <c r="Q267" s="2" t="s">
        <v>71</v>
      </c>
      <c r="R267" s="2" t="s">
        <v>700</v>
      </c>
      <c r="S267" s="2" t="n">
        <v>6.499</v>
      </c>
      <c r="T267" s="2"/>
      <c r="U267" s="2"/>
      <c r="V267" s="2" t="s">
        <v>43</v>
      </c>
    </row>
    <row r="268" customFormat="false" ht="15" hidden="false" customHeight="false" outlineLevel="0" collapsed="false">
      <c r="A268" s="2" t="s">
        <v>706</v>
      </c>
      <c r="B268" s="2" t="s">
        <v>787</v>
      </c>
      <c r="C268" s="2" t="s">
        <v>483</v>
      </c>
      <c r="D268" s="2" t="s">
        <v>39</v>
      </c>
      <c r="E268" s="2" t="s">
        <v>720</v>
      </c>
      <c r="F268" s="2" t="s">
        <v>708</v>
      </c>
      <c r="G268" s="2" t="s">
        <v>257</v>
      </c>
      <c r="H268" s="2" t="n">
        <v>6.525</v>
      </c>
      <c r="I268" s="2" t="n">
        <v>1950</v>
      </c>
      <c r="J268" s="2" t="n">
        <v>6.584</v>
      </c>
      <c r="K268" s="2" t="n">
        <v>0.211</v>
      </c>
      <c r="L268" s="2" t="n">
        <v>6090</v>
      </c>
      <c r="M268" s="2" t="n">
        <v>60</v>
      </c>
      <c r="N268" s="2" t="n">
        <v>-248</v>
      </c>
      <c r="O268" s="2" t="n">
        <v>35</v>
      </c>
      <c r="P268" s="2" t="s">
        <v>704</v>
      </c>
      <c r="Q268" s="2" t="s">
        <v>71</v>
      </c>
      <c r="R268" s="2" t="s">
        <v>700</v>
      </c>
      <c r="S268" s="2" t="n">
        <v>6.442</v>
      </c>
      <c r="T268" s="2"/>
      <c r="U268" s="2"/>
      <c r="V268" s="2" t="s">
        <v>43</v>
      </c>
    </row>
    <row r="269" customFormat="false" ht="15" hidden="false" customHeight="false" outlineLevel="0" collapsed="false">
      <c r="A269" s="2" t="s">
        <v>706</v>
      </c>
      <c r="B269" s="2" t="s">
        <v>788</v>
      </c>
      <c r="C269" s="2" t="s">
        <v>473</v>
      </c>
      <c r="D269" s="2" t="s">
        <v>39</v>
      </c>
      <c r="E269" s="2" t="s">
        <v>720</v>
      </c>
      <c r="F269" s="2" t="s">
        <v>708</v>
      </c>
      <c r="G269" s="2" t="s">
        <v>257</v>
      </c>
      <c r="H269" s="2" t="n">
        <v>6.61</v>
      </c>
      <c r="I269" s="2" t="n">
        <v>1950</v>
      </c>
      <c r="J269" s="2" t="n">
        <v>6.677</v>
      </c>
      <c r="K269" s="2" t="n">
        <v>0.2465</v>
      </c>
      <c r="L269" s="2" t="n">
        <v>6170</v>
      </c>
      <c r="M269" s="2" t="n">
        <v>80</v>
      </c>
      <c r="N269" s="2" t="n">
        <v>-248</v>
      </c>
      <c r="O269" s="2" t="n">
        <v>35</v>
      </c>
      <c r="P269" s="2" t="s">
        <v>704</v>
      </c>
      <c r="Q269" s="2" t="s">
        <v>71</v>
      </c>
      <c r="R269" s="2" t="s">
        <v>700</v>
      </c>
      <c r="S269" s="2" t="n">
        <v>6.528</v>
      </c>
      <c r="T269" s="2"/>
      <c r="U269" s="2"/>
      <c r="V269" s="2" t="s">
        <v>43</v>
      </c>
    </row>
    <row r="270" customFormat="false" ht="15" hidden="false" customHeight="false" outlineLevel="0" collapsed="false">
      <c r="A270" s="2" t="s">
        <v>706</v>
      </c>
      <c r="B270" s="2" t="s">
        <v>789</v>
      </c>
      <c r="C270" s="2" t="s">
        <v>452</v>
      </c>
      <c r="D270" s="2" t="s">
        <v>39</v>
      </c>
      <c r="E270" s="2" t="s">
        <v>708</v>
      </c>
      <c r="F270" s="2" t="s">
        <v>708</v>
      </c>
      <c r="G270" s="2" t="s">
        <v>393</v>
      </c>
      <c r="H270" s="2" t="n">
        <v>6.637</v>
      </c>
      <c r="I270" s="2" t="n">
        <v>1950</v>
      </c>
      <c r="J270" s="2" t="n">
        <v>6.637</v>
      </c>
      <c r="K270" s="2" t="n">
        <v>0.048</v>
      </c>
      <c r="L270" s="2"/>
      <c r="M270" s="2"/>
      <c r="N270" s="2"/>
      <c r="O270" s="2"/>
      <c r="P270" s="2"/>
      <c r="Q270" s="2" t="s">
        <v>71</v>
      </c>
      <c r="R270" s="2" t="s">
        <v>700</v>
      </c>
      <c r="S270" s="2" t="n">
        <v>6.637</v>
      </c>
      <c r="T270" s="2"/>
      <c r="U270" s="2"/>
      <c r="V270" s="2" t="s">
        <v>43</v>
      </c>
    </row>
    <row r="271" customFormat="false" ht="15" hidden="false" customHeight="false" outlineLevel="0" collapsed="false">
      <c r="A271" s="2" t="s">
        <v>706</v>
      </c>
      <c r="B271" s="2" t="s">
        <v>790</v>
      </c>
      <c r="C271" s="2" t="s">
        <v>458</v>
      </c>
      <c r="D271" s="2" t="s">
        <v>39</v>
      </c>
      <c r="E271" s="2" t="s">
        <v>720</v>
      </c>
      <c r="F271" s="2" t="s">
        <v>708</v>
      </c>
      <c r="G271" s="2" t="s">
        <v>257</v>
      </c>
      <c r="H271" s="2" t="n">
        <v>6.65</v>
      </c>
      <c r="I271" s="2" t="n">
        <v>1950</v>
      </c>
      <c r="J271" s="2" t="n">
        <v>6.712</v>
      </c>
      <c r="K271" s="2" t="n">
        <v>0.2475</v>
      </c>
      <c r="L271" s="2" t="n">
        <v>6200</v>
      </c>
      <c r="M271" s="2" t="n">
        <v>80</v>
      </c>
      <c r="N271" s="2" t="n">
        <v>-248</v>
      </c>
      <c r="O271" s="2" t="n">
        <v>35</v>
      </c>
      <c r="P271" s="2" t="s">
        <v>704</v>
      </c>
      <c r="Q271" s="2" t="s">
        <v>71</v>
      </c>
      <c r="R271" s="2" t="s">
        <v>700</v>
      </c>
      <c r="S271" s="2" t="n">
        <v>6.56</v>
      </c>
      <c r="T271" s="2"/>
      <c r="U271" s="2"/>
      <c r="V271" s="2" t="s">
        <v>43</v>
      </c>
    </row>
    <row r="272" customFormat="false" ht="15" hidden="false" customHeight="false" outlineLevel="0" collapsed="false">
      <c r="A272" s="2" t="s">
        <v>706</v>
      </c>
      <c r="B272" s="2" t="s">
        <v>791</v>
      </c>
      <c r="C272" s="2" t="s">
        <v>456</v>
      </c>
      <c r="D272" s="2" t="s">
        <v>39</v>
      </c>
      <c r="E272" s="2" t="s">
        <v>720</v>
      </c>
      <c r="F272" s="2" t="s">
        <v>708</v>
      </c>
      <c r="G272" s="2" t="s">
        <v>257</v>
      </c>
      <c r="H272" s="2" t="n">
        <v>6.675</v>
      </c>
      <c r="I272" s="2" t="n">
        <v>1950</v>
      </c>
      <c r="J272" s="2" t="n">
        <v>6.746</v>
      </c>
      <c r="K272" s="2" t="n">
        <v>0.25</v>
      </c>
      <c r="L272" s="2" t="n">
        <v>6230</v>
      </c>
      <c r="M272" s="2" t="n">
        <v>80</v>
      </c>
      <c r="N272" s="2" t="n">
        <v>-248</v>
      </c>
      <c r="O272" s="2" t="n">
        <v>35</v>
      </c>
      <c r="P272" s="2" t="s">
        <v>704</v>
      </c>
      <c r="Q272" s="2" t="s">
        <v>71</v>
      </c>
      <c r="R272" s="2" t="s">
        <v>700</v>
      </c>
      <c r="S272" s="2" t="n">
        <v>6.593</v>
      </c>
      <c r="T272" s="2"/>
      <c r="U272" s="2"/>
      <c r="V272" s="2" t="s">
        <v>43</v>
      </c>
    </row>
    <row r="273" customFormat="false" ht="15" hidden="false" customHeight="false" outlineLevel="0" collapsed="false">
      <c r="A273" s="2" t="s">
        <v>706</v>
      </c>
      <c r="B273" s="2" t="s">
        <v>792</v>
      </c>
      <c r="C273" s="2" t="s">
        <v>458</v>
      </c>
      <c r="D273" s="2" t="s">
        <v>39</v>
      </c>
      <c r="E273" s="2" t="s">
        <v>708</v>
      </c>
      <c r="F273" s="2" t="s">
        <v>708</v>
      </c>
      <c r="G273" s="2" t="s">
        <v>393</v>
      </c>
      <c r="H273" s="2" t="n">
        <v>6.679</v>
      </c>
      <c r="I273" s="2" t="n">
        <v>1950</v>
      </c>
      <c r="J273" s="2" t="n">
        <v>6.679</v>
      </c>
      <c r="K273" s="2" t="n">
        <v>0.048</v>
      </c>
      <c r="L273" s="2"/>
      <c r="M273" s="2"/>
      <c r="N273" s="2"/>
      <c r="O273" s="2"/>
      <c r="P273" s="2"/>
      <c r="Q273" s="2" t="s">
        <v>71</v>
      </c>
      <c r="R273" s="2" t="s">
        <v>700</v>
      </c>
      <c r="S273" s="2" t="n">
        <v>6.679</v>
      </c>
      <c r="T273" s="2"/>
      <c r="U273" s="2"/>
      <c r="V273" s="2" t="s">
        <v>43</v>
      </c>
    </row>
    <row r="274" customFormat="false" ht="15" hidden="false" customHeight="false" outlineLevel="0" collapsed="false">
      <c r="A274" s="2" t="s">
        <v>706</v>
      </c>
      <c r="B274" s="2" t="s">
        <v>793</v>
      </c>
      <c r="C274" s="2" t="s">
        <v>454</v>
      </c>
      <c r="D274" s="2" t="s">
        <v>450</v>
      </c>
      <c r="E274" s="2" t="s">
        <v>708</v>
      </c>
      <c r="F274" s="2" t="s">
        <v>708</v>
      </c>
      <c r="G274" s="2" t="s">
        <v>393</v>
      </c>
      <c r="H274" s="2" t="n">
        <v>6.705</v>
      </c>
      <c r="I274" s="2" t="n">
        <v>1950</v>
      </c>
      <c r="J274" s="2" t="n">
        <v>6.705</v>
      </c>
      <c r="K274" s="2" t="n">
        <v>0.089</v>
      </c>
      <c r="L274" s="2"/>
      <c r="M274" s="2"/>
      <c r="N274" s="2"/>
      <c r="O274" s="2"/>
      <c r="P274" s="2"/>
      <c r="Q274" s="2" t="s">
        <v>71</v>
      </c>
      <c r="R274" s="2" t="s">
        <v>700</v>
      </c>
      <c r="S274" s="2" t="n">
        <v>6.705</v>
      </c>
      <c r="T274" s="2"/>
      <c r="U274" s="2"/>
      <c r="V274" s="2" t="s">
        <v>43</v>
      </c>
    </row>
    <row r="275" customFormat="false" ht="15" hidden="false" customHeight="false" outlineLevel="0" collapsed="false">
      <c r="A275" s="2" t="s">
        <v>706</v>
      </c>
      <c r="B275" s="2" t="s">
        <v>794</v>
      </c>
      <c r="C275" s="2" t="s">
        <v>452</v>
      </c>
      <c r="D275" s="2" t="s">
        <v>39</v>
      </c>
      <c r="E275" s="2" t="s">
        <v>720</v>
      </c>
      <c r="F275" s="2" t="s">
        <v>708</v>
      </c>
      <c r="G275" s="2" t="s">
        <v>257</v>
      </c>
      <c r="H275" s="2" t="n">
        <v>6.725</v>
      </c>
      <c r="I275" s="2" t="n">
        <v>1950</v>
      </c>
      <c r="J275" s="2" t="n">
        <v>6.801</v>
      </c>
      <c r="K275" s="2" t="n">
        <v>0.267</v>
      </c>
      <c r="L275" s="2" t="n">
        <v>6277</v>
      </c>
      <c r="M275" s="2" t="n">
        <v>87.5</v>
      </c>
      <c r="N275" s="2" t="n">
        <v>-248</v>
      </c>
      <c r="O275" s="2" t="n">
        <v>35</v>
      </c>
      <c r="P275" s="2" t="s">
        <v>704</v>
      </c>
      <c r="Q275" s="2" t="s">
        <v>71</v>
      </c>
      <c r="R275" s="2" t="s">
        <v>700</v>
      </c>
      <c r="S275" s="2" t="n">
        <v>6.646</v>
      </c>
      <c r="T275" s="2"/>
      <c r="U275" s="2"/>
      <c r="V275" s="2" t="s">
        <v>43</v>
      </c>
    </row>
    <row r="276" customFormat="false" ht="15" hidden="false" customHeight="false" outlineLevel="0" collapsed="false">
      <c r="A276" s="2" t="s">
        <v>706</v>
      </c>
      <c r="B276" s="2" t="s">
        <v>795</v>
      </c>
      <c r="C276" s="2" t="s">
        <v>460</v>
      </c>
      <c r="D276" s="2" t="s">
        <v>450</v>
      </c>
      <c r="E276" s="2" t="s">
        <v>708</v>
      </c>
      <c r="F276" s="2" t="s">
        <v>708</v>
      </c>
      <c r="G276" s="2" t="s">
        <v>393</v>
      </c>
      <c r="H276" s="2" t="n">
        <v>6.777</v>
      </c>
      <c r="I276" s="2" t="n">
        <v>1950</v>
      </c>
      <c r="J276" s="2" t="n">
        <v>6.777</v>
      </c>
      <c r="K276" s="2" t="n">
        <v>0.05</v>
      </c>
      <c r="L276" s="2"/>
      <c r="M276" s="2"/>
      <c r="N276" s="2"/>
      <c r="O276" s="2"/>
      <c r="P276" s="2"/>
      <c r="Q276" s="2" t="s">
        <v>71</v>
      </c>
      <c r="R276" s="2" t="s">
        <v>700</v>
      </c>
      <c r="S276" s="2" t="n">
        <v>6.777</v>
      </c>
      <c r="T276" s="2"/>
      <c r="U276" s="2"/>
      <c r="V276" s="2" t="s">
        <v>43</v>
      </c>
    </row>
    <row r="277" customFormat="false" ht="15" hidden="false" customHeight="false" outlineLevel="0" collapsed="false">
      <c r="A277" s="2" t="s">
        <v>706</v>
      </c>
      <c r="B277" s="2" t="s">
        <v>796</v>
      </c>
      <c r="C277" s="2" t="s">
        <v>469</v>
      </c>
      <c r="D277" s="2" t="s">
        <v>450</v>
      </c>
      <c r="E277" s="2" t="s">
        <v>708</v>
      </c>
      <c r="F277" s="2" t="s">
        <v>708</v>
      </c>
      <c r="G277" s="2"/>
      <c r="H277" s="2" t="n">
        <v>6.885</v>
      </c>
      <c r="I277" s="2" t="n">
        <v>1950</v>
      </c>
      <c r="J277" s="2" t="n">
        <v>6.885</v>
      </c>
      <c r="K277" s="2"/>
      <c r="L277" s="2"/>
      <c r="M277" s="2"/>
      <c r="N277" s="2"/>
      <c r="O277" s="2"/>
      <c r="P277" s="2"/>
      <c r="Q277" s="2" t="s">
        <v>71</v>
      </c>
      <c r="R277" s="2" t="s">
        <v>700</v>
      </c>
      <c r="S277" s="2" t="n">
        <v>6.885</v>
      </c>
      <c r="T277" s="2"/>
      <c r="U277" s="2"/>
      <c r="V277" s="2" t="s">
        <v>43</v>
      </c>
    </row>
    <row r="278" customFormat="false" ht="15" hidden="false" customHeight="false" outlineLevel="0" collapsed="false">
      <c r="A278" s="2" t="s">
        <v>706</v>
      </c>
      <c r="B278" s="2" t="s">
        <v>797</v>
      </c>
      <c r="C278" s="2" t="s">
        <v>474</v>
      </c>
      <c r="D278" s="2" t="s">
        <v>450</v>
      </c>
      <c r="E278" s="2" t="s">
        <v>708</v>
      </c>
      <c r="F278" s="2" t="s">
        <v>708</v>
      </c>
      <c r="G278" s="2" t="s">
        <v>393</v>
      </c>
      <c r="H278" s="2" t="n">
        <v>6.891</v>
      </c>
      <c r="I278" s="2" t="n">
        <v>1950</v>
      </c>
      <c r="J278" s="2" t="n">
        <v>6.891</v>
      </c>
      <c r="K278" s="2" t="n">
        <v>0.05</v>
      </c>
      <c r="L278" s="2"/>
      <c r="M278" s="2"/>
      <c r="N278" s="2"/>
      <c r="O278" s="2"/>
      <c r="P278" s="2"/>
      <c r="Q278" s="2" t="s">
        <v>71</v>
      </c>
      <c r="R278" s="2" t="s">
        <v>700</v>
      </c>
      <c r="S278" s="2" t="n">
        <v>6.891</v>
      </c>
      <c r="T278" s="2"/>
      <c r="U278" s="2"/>
      <c r="V278" s="2" t="s">
        <v>43</v>
      </c>
    </row>
    <row r="279" customFormat="false" ht="15" hidden="false" customHeight="false" outlineLevel="0" collapsed="false">
      <c r="A279" s="2" t="s">
        <v>706</v>
      </c>
      <c r="B279" s="2" t="s">
        <v>798</v>
      </c>
      <c r="C279" s="2" t="s">
        <v>445</v>
      </c>
      <c r="D279" s="2" t="s">
        <v>450</v>
      </c>
      <c r="E279" s="2" t="s">
        <v>708</v>
      </c>
      <c r="F279" s="2" t="s">
        <v>708</v>
      </c>
      <c r="G279" s="2" t="s">
        <v>393</v>
      </c>
      <c r="H279" s="2" t="n">
        <v>6.911</v>
      </c>
      <c r="I279" s="2" t="n">
        <v>1950</v>
      </c>
      <c r="J279" s="2" t="n">
        <v>6.911</v>
      </c>
      <c r="K279" s="2" t="n">
        <v>0.049</v>
      </c>
      <c r="L279" s="2"/>
      <c r="M279" s="2"/>
      <c r="N279" s="2"/>
      <c r="O279" s="2"/>
      <c r="P279" s="2"/>
      <c r="Q279" s="2" t="s">
        <v>71</v>
      </c>
      <c r="R279" s="2" t="s">
        <v>700</v>
      </c>
      <c r="S279" s="2" t="n">
        <v>6.911</v>
      </c>
      <c r="T279" s="2"/>
      <c r="U279" s="2"/>
      <c r="V279" s="2" t="s">
        <v>43</v>
      </c>
    </row>
    <row r="280" customFormat="false" ht="15" hidden="false" customHeight="false" outlineLevel="0" collapsed="false">
      <c r="A280" s="2" t="s">
        <v>706</v>
      </c>
      <c r="B280" s="2" t="s">
        <v>799</v>
      </c>
      <c r="C280" s="2" t="s">
        <v>449</v>
      </c>
      <c r="D280" s="2" t="s">
        <v>450</v>
      </c>
      <c r="E280" s="2" t="s">
        <v>708</v>
      </c>
      <c r="F280" s="2" t="s">
        <v>708</v>
      </c>
      <c r="G280" s="2" t="s">
        <v>393</v>
      </c>
      <c r="H280" s="2" t="n">
        <v>6.963</v>
      </c>
      <c r="I280" s="2" t="n">
        <v>1950</v>
      </c>
      <c r="J280" s="2" t="n">
        <v>6.963</v>
      </c>
      <c r="K280" s="2" t="n">
        <v>0.066</v>
      </c>
      <c r="L280" s="2"/>
      <c r="M280" s="2"/>
      <c r="N280" s="2"/>
      <c r="O280" s="2"/>
      <c r="P280" s="2"/>
      <c r="Q280" s="2" t="s">
        <v>71</v>
      </c>
      <c r="R280" s="2" t="s">
        <v>700</v>
      </c>
      <c r="S280" s="2" t="n">
        <v>6.963</v>
      </c>
      <c r="T280" s="2"/>
      <c r="U280" s="2"/>
      <c r="V280" s="2" t="s">
        <v>43</v>
      </c>
    </row>
    <row r="281" customFormat="false" ht="15" hidden="false" customHeight="false" outlineLevel="0" collapsed="false">
      <c r="A281" s="2" t="s">
        <v>706</v>
      </c>
      <c r="B281" s="2" t="s">
        <v>800</v>
      </c>
      <c r="C281" s="2" t="s">
        <v>473</v>
      </c>
      <c r="D281" s="2" t="s">
        <v>39</v>
      </c>
      <c r="E281" s="2" t="s">
        <v>708</v>
      </c>
      <c r="F281" s="2" t="s">
        <v>708</v>
      </c>
      <c r="G281" s="2" t="s">
        <v>393</v>
      </c>
      <c r="H281" s="2" t="n">
        <v>6.99</v>
      </c>
      <c r="I281" s="2" t="n">
        <v>1950</v>
      </c>
      <c r="J281" s="2" t="n">
        <v>6.99</v>
      </c>
      <c r="K281" s="2" t="n">
        <v>0.049</v>
      </c>
      <c r="L281" s="2"/>
      <c r="M281" s="2"/>
      <c r="N281" s="2"/>
      <c r="O281" s="2"/>
      <c r="P281" s="2"/>
      <c r="Q281" s="2" t="s">
        <v>71</v>
      </c>
      <c r="R281" s="2" t="s">
        <v>700</v>
      </c>
      <c r="S281" s="2" t="n">
        <v>6.99</v>
      </c>
      <c r="T281" s="2"/>
      <c r="U281" s="2"/>
      <c r="V281" s="2" t="s">
        <v>43</v>
      </c>
    </row>
    <row r="282" customFormat="false" ht="15" hidden="false" customHeight="false" outlineLevel="0" collapsed="false">
      <c r="A282" s="2" t="s">
        <v>706</v>
      </c>
      <c r="B282" s="2" t="s">
        <v>801</v>
      </c>
      <c r="C282" s="2" t="s">
        <v>471</v>
      </c>
      <c r="D282" s="2" t="s">
        <v>450</v>
      </c>
      <c r="E282" s="2" t="s">
        <v>720</v>
      </c>
      <c r="F282" s="2" t="s">
        <v>708</v>
      </c>
      <c r="G282" s="2" t="s">
        <v>257</v>
      </c>
      <c r="H282" s="2" t="n">
        <v>6.99</v>
      </c>
      <c r="I282" s="2" t="n">
        <v>1950</v>
      </c>
      <c r="J282" s="2" t="n">
        <v>7.053</v>
      </c>
      <c r="K282" s="2" t="n">
        <v>0.22</v>
      </c>
      <c r="L282" s="2" t="n">
        <v>6500</v>
      </c>
      <c r="M282" s="2" t="n">
        <v>70</v>
      </c>
      <c r="N282" s="2" t="n">
        <v>-248</v>
      </c>
      <c r="O282" s="2" t="n">
        <v>35</v>
      </c>
      <c r="P282" s="2" t="s">
        <v>704</v>
      </c>
      <c r="Q282" s="2" t="s">
        <v>71</v>
      </c>
      <c r="R282" s="2" t="s">
        <v>700</v>
      </c>
      <c r="S282" s="2" t="n">
        <v>6.902</v>
      </c>
      <c r="T282" s="2"/>
      <c r="U282" s="2"/>
      <c r="V282" s="2" t="s">
        <v>43</v>
      </c>
    </row>
    <row r="283" customFormat="false" ht="15" hidden="false" customHeight="false" outlineLevel="0" collapsed="false">
      <c r="A283" s="2" t="s">
        <v>706</v>
      </c>
      <c r="B283" s="2" t="s">
        <v>802</v>
      </c>
      <c r="C283" s="2" t="s">
        <v>483</v>
      </c>
      <c r="D283" s="2" t="s">
        <v>39</v>
      </c>
      <c r="E283" s="2" t="s">
        <v>720</v>
      </c>
      <c r="F283" s="2" t="s">
        <v>708</v>
      </c>
      <c r="G283" s="2" t="s">
        <v>257</v>
      </c>
      <c r="H283" s="2" t="n">
        <v>6.995</v>
      </c>
      <c r="I283" s="2" t="n">
        <v>1950</v>
      </c>
      <c r="J283" s="2" t="n">
        <v>7.033</v>
      </c>
      <c r="K283" s="2" t="n">
        <v>0.2105</v>
      </c>
      <c r="L283" s="2" t="n">
        <v>6480</v>
      </c>
      <c r="M283" s="2" t="n">
        <v>60</v>
      </c>
      <c r="N283" s="2" t="n">
        <v>-248</v>
      </c>
      <c r="O283" s="2" t="n">
        <v>35</v>
      </c>
      <c r="P283" s="2" t="s">
        <v>704</v>
      </c>
      <c r="Q283" s="2" t="s">
        <v>71</v>
      </c>
      <c r="R283" s="2" t="s">
        <v>700</v>
      </c>
      <c r="S283" s="2" t="n">
        <v>6.879</v>
      </c>
      <c r="T283" s="2"/>
      <c r="U283" s="2"/>
      <c r="V283" s="2" t="s">
        <v>43</v>
      </c>
    </row>
    <row r="284" customFormat="false" ht="15" hidden="false" customHeight="false" outlineLevel="0" collapsed="false">
      <c r="A284" s="2" t="s">
        <v>706</v>
      </c>
      <c r="B284" s="2" t="s">
        <v>803</v>
      </c>
      <c r="C284" s="2" t="s">
        <v>453</v>
      </c>
      <c r="D284" s="2" t="s">
        <v>39</v>
      </c>
      <c r="E284" s="2" t="s">
        <v>708</v>
      </c>
      <c r="F284" s="2" t="s">
        <v>708</v>
      </c>
      <c r="G284" s="2" t="s">
        <v>393</v>
      </c>
      <c r="H284" s="2" t="n">
        <v>7.037</v>
      </c>
      <c r="I284" s="2" t="n">
        <v>1950</v>
      </c>
      <c r="J284" s="2" t="n">
        <v>7.037</v>
      </c>
      <c r="K284" s="2" t="n">
        <v>0.05</v>
      </c>
      <c r="L284" s="2"/>
      <c r="M284" s="2"/>
      <c r="N284" s="2"/>
      <c r="O284" s="2"/>
      <c r="P284" s="2"/>
      <c r="Q284" s="2" t="s">
        <v>71</v>
      </c>
      <c r="R284" s="2" t="s">
        <v>700</v>
      </c>
      <c r="S284" s="2" t="n">
        <v>7.037</v>
      </c>
      <c r="T284" s="2"/>
      <c r="U284" s="2"/>
      <c r="V284" s="2" t="s">
        <v>43</v>
      </c>
    </row>
    <row r="285" customFormat="false" ht="15" hidden="false" customHeight="false" outlineLevel="0" collapsed="false">
      <c r="A285" s="2" t="s">
        <v>706</v>
      </c>
      <c r="B285" s="2" t="s">
        <v>804</v>
      </c>
      <c r="C285" s="2" t="s">
        <v>452</v>
      </c>
      <c r="D285" s="2" t="s">
        <v>450</v>
      </c>
      <c r="E285" s="2" t="s">
        <v>720</v>
      </c>
      <c r="F285" s="2" t="s">
        <v>708</v>
      </c>
      <c r="G285" s="2" t="s">
        <v>257</v>
      </c>
      <c r="H285" s="2" t="n">
        <v>7.045</v>
      </c>
      <c r="I285" s="2" t="n">
        <v>1950</v>
      </c>
      <c r="J285" s="2" t="n">
        <v>7.113</v>
      </c>
      <c r="K285" s="2" t="n">
        <v>0.2395</v>
      </c>
      <c r="L285" s="2" t="n">
        <v>6559</v>
      </c>
      <c r="M285" s="2" t="n">
        <v>85</v>
      </c>
      <c r="N285" s="2" t="n">
        <v>-248</v>
      </c>
      <c r="O285" s="2" t="n">
        <v>35</v>
      </c>
      <c r="P285" s="2" t="s">
        <v>704</v>
      </c>
      <c r="Q285" s="2" t="s">
        <v>71</v>
      </c>
      <c r="R285" s="2" t="s">
        <v>700</v>
      </c>
      <c r="S285" s="2" t="n">
        <v>6.969</v>
      </c>
      <c r="T285" s="2"/>
      <c r="U285" s="2"/>
      <c r="V285" s="2" t="s">
        <v>43</v>
      </c>
    </row>
    <row r="286" customFormat="false" ht="15" hidden="false" customHeight="false" outlineLevel="0" collapsed="false">
      <c r="A286" s="2" t="s">
        <v>706</v>
      </c>
      <c r="B286" s="2" t="s">
        <v>805</v>
      </c>
      <c r="C286" s="2" t="s">
        <v>461</v>
      </c>
      <c r="D286" s="2" t="s">
        <v>450</v>
      </c>
      <c r="E286" s="2" t="s">
        <v>708</v>
      </c>
      <c r="F286" s="2" t="s">
        <v>708</v>
      </c>
      <c r="G286" s="2" t="s">
        <v>393</v>
      </c>
      <c r="H286" s="2" t="n">
        <v>7.066</v>
      </c>
      <c r="I286" s="2" t="n">
        <v>1950</v>
      </c>
      <c r="J286" s="2" t="n">
        <v>7.066</v>
      </c>
      <c r="K286" s="2" t="n">
        <v>0.057</v>
      </c>
      <c r="L286" s="2"/>
      <c r="M286" s="2"/>
      <c r="N286" s="2"/>
      <c r="O286" s="2"/>
      <c r="P286" s="2"/>
      <c r="Q286" s="2" t="s">
        <v>71</v>
      </c>
      <c r="R286" s="2" t="s">
        <v>700</v>
      </c>
      <c r="S286" s="2" t="n">
        <v>7.066</v>
      </c>
      <c r="T286" s="2"/>
      <c r="U286" s="2"/>
      <c r="V286" s="2" t="s">
        <v>43</v>
      </c>
    </row>
    <row r="287" customFormat="false" ht="15" hidden="false" customHeight="false" outlineLevel="0" collapsed="false">
      <c r="A287" s="2" t="s">
        <v>706</v>
      </c>
      <c r="B287" s="2" t="s">
        <v>806</v>
      </c>
      <c r="C287" s="2" t="s">
        <v>460</v>
      </c>
      <c r="D287" s="2" t="s">
        <v>450</v>
      </c>
      <c r="E287" s="2" t="s">
        <v>720</v>
      </c>
      <c r="F287" s="2" t="s">
        <v>708</v>
      </c>
      <c r="G287" s="2" t="s">
        <v>257</v>
      </c>
      <c r="H287" s="2" t="n">
        <v>7.07</v>
      </c>
      <c r="I287" s="2" t="n">
        <v>1950</v>
      </c>
      <c r="J287" s="2" t="n">
        <v>7.127</v>
      </c>
      <c r="K287" s="2" t="n">
        <v>0.216</v>
      </c>
      <c r="L287" s="2" t="n">
        <v>6570</v>
      </c>
      <c r="M287" s="2" t="n">
        <v>70</v>
      </c>
      <c r="N287" s="2" t="n">
        <v>-248</v>
      </c>
      <c r="O287" s="2" t="n">
        <v>35</v>
      </c>
      <c r="P287" s="2" t="s">
        <v>704</v>
      </c>
      <c r="Q287" s="2" t="s">
        <v>71</v>
      </c>
      <c r="R287" s="2" t="s">
        <v>700</v>
      </c>
      <c r="S287" s="2" t="n">
        <v>6.982</v>
      </c>
      <c r="T287" s="2"/>
      <c r="U287" s="2"/>
      <c r="V287" s="2" t="s">
        <v>43</v>
      </c>
    </row>
    <row r="288" customFormat="false" ht="15" hidden="false" customHeight="false" outlineLevel="0" collapsed="false">
      <c r="A288" s="2" t="s">
        <v>706</v>
      </c>
      <c r="B288" s="2" t="s">
        <v>807</v>
      </c>
      <c r="C288" s="2" t="s">
        <v>460</v>
      </c>
      <c r="D288" s="2" t="s">
        <v>450</v>
      </c>
      <c r="E288" s="2" t="s">
        <v>708</v>
      </c>
      <c r="F288" s="2" t="s">
        <v>708</v>
      </c>
      <c r="G288" s="2" t="s">
        <v>393</v>
      </c>
      <c r="H288" s="2" t="n">
        <v>7.071</v>
      </c>
      <c r="I288" s="2" t="n">
        <v>1950</v>
      </c>
      <c r="J288" s="2" t="n">
        <v>7.071</v>
      </c>
      <c r="K288" s="2" t="n">
        <v>0.05</v>
      </c>
      <c r="L288" s="2"/>
      <c r="M288" s="2"/>
      <c r="N288" s="2"/>
      <c r="O288" s="2"/>
      <c r="P288" s="2"/>
      <c r="Q288" s="2" t="s">
        <v>71</v>
      </c>
      <c r="R288" s="2" t="s">
        <v>700</v>
      </c>
      <c r="S288" s="2" t="n">
        <v>7.071</v>
      </c>
      <c r="T288" s="2"/>
      <c r="U288" s="2"/>
      <c r="V288" s="2" t="s">
        <v>43</v>
      </c>
    </row>
    <row r="289" customFormat="false" ht="15" hidden="false" customHeight="false" outlineLevel="0" collapsed="false">
      <c r="A289" s="2" t="s">
        <v>706</v>
      </c>
      <c r="B289" s="2" t="s">
        <v>808</v>
      </c>
      <c r="C289" s="2" t="s">
        <v>445</v>
      </c>
      <c r="D289" s="2" t="s">
        <v>450</v>
      </c>
      <c r="E289" s="2" t="s">
        <v>708</v>
      </c>
      <c r="F289" s="2" t="s">
        <v>708</v>
      </c>
      <c r="G289" s="2" t="s">
        <v>393</v>
      </c>
      <c r="H289" s="2" t="n">
        <v>7.098</v>
      </c>
      <c r="I289" s="2" t="n">
        <v>1950</v>
      </c>
      <c r="J289" s="2" t="n">
        <v>7.098</v>
      </c>
      <c r="K289" s="2" t="n">
        <v>0.051</v>
      </c>
      <c r="L289" s="2"/>
      <c r="M289" s="2"/>
      <c r="N289" s="2"/>
      <c r="O289" s="2"/>
      <c r="P289" s="2"/>
      <c r="Q289" s="2" t="s">
        <v>71</v>
      </c>
      <c r="R289" s="2" t="s">
        <v>700</v>
      </c>
      <c r="S289" s="2" t="n">
        <v>7.098</v>
      </c>
      <c r="T289" s="2"/>
      <c r="U289" s="2"/>
      <c r="V289" s="2" t="s">
        <v>43</v>
      </c>
    </row>
    <row r="290" customFormat="false" ht="15" hidden="false" customHeight="false" outlineLevel="0" collapsed="false">
      <c r="A290" s="2" t="s">
        <v>706</v>
      </c>
      <c r="B290" s="2" t="s">
        <v>809</v>
      </c>
      <c r="C290" s="2" t="s">
        <v>474</v>
      </c>
      <c r="D290" s="2" t="s">
        <v>450</v>
      </c>
      <c r="E290" s="2" t="s">
        <v>720</v>
      </c>
      <c r="F290" s="2" t="s">
        <v>708</v>
      </c>
      <c r="G290" s="2" t="s">
        <v>257</v>
      </c>
      <c r="H290" s="2" t="n">
        <v>7.145</v>
      </c>
      <c r="I290" s="2" t="n">
        <v>1950</v>
      </c>
      <c r="J290" s="2" t="n">
        <v>7.205</v>
      </c>
      <c r="K290" s="2" t="n">
        <v>0.179</v>
      </c>
      <c r="L290" s="2" t="n">
        <v>6640</v>
      </c>
      <c r="M290" s="2" t="n">
        <v>40</v>
      </c>
      <c r="N290" s="2" t="n">
        <v>-248</v>
      </c>
      <c r="O290" s="2" t="n">
        <v>35</v>
      </c>
      <c r="P290" s="2" t="s">
        <v>704</v>
      </c>
      <c r="Q290" s="2" t="s">
        <v>71</v>
      </c>
      <c r="R290" s="2" t="s">
        <v>700</v>
      </c>
      <c r="S290" s="2" t="n">
        <v>7.059</v>
      </c>
      <c r="T290" s="2"/>
      <c r="U290" s="2"/>
      <c r="V290" s="2" t="s">
        <v>43</v>
      </c>
    </row>
    <row r="291" customFormat="false" ht="15" hidden="false" customHeight="false" outlineLevel="0" collapsed="false">
      <c r="A291" s="2" t="s">
        <v>706</v>
      </c>
      <c r="B291" s="2" t="s">
        <v>810</v>
      </c>
      <c r="C291" s="2" t="s">
        <v>452</v>
      </c>
      <c r="D291" s="2" t="s">
        <v>450</v>
      </c>
      <c r="E291" s="2" t="s">
        <v>708</v>
      </c>
      <c r="F291" s="2" t="s">
        <v>708</v>
      </c>
      <c r="G291" s="2" t="s">
        <v>393</v>
      </c>
      <c r="H291" s="2" t="n">
        <v>7.185</v>
      </c>
      <c r="I291" s="2" t="n">
        <v>1950</v>
      </c>
      <c r="J291" s="2" t="n">
        <v>7.185</v>
      </c>
      <c r="K291" s="2" t="n">
        <v>0.053</v>
      </c>
      <c r="L291" s="2"/>
      <c r="M291" s="2"/>
      <c r="N291" s="2"/>
      <c r="O291" s="2"/>
      <c r="P291" s="2"/>
      <c r="Q291" s="2" t="s">
        <v>71</v>
      </c>
      <c r="R291" s="2" t="s">
        <v>700</v>
      </c>
      <c r="S291" s="2" t="n">
        <v>7.185</v>
      </c>
      <c r="T291" s="2"/>
      <c r="U291" s="2"/>
      <c r="V291" s="2" t="s">
        <v>43</v>
      </c>
    </row>
    <row r="292" customFormat="false" ht="15" hidden="false" customHeight="false" outlineLevel="0" collapsed="false">
      <c r="A292" s="2" t="s">
        <v>706</v>
      </c>
      <c r="B292" s="2" t="s">
        <v>811</v>
      </c>
      <c r="C292" s="2" t="s">
        <v>452</v>
      </c>
      <c r="D292" s="2" t="s">
        <v>450</v>
      </c>
      <c r="E292" s="2" t="s">
        <v>708</v>
      </c>
      <c r="F292" s="2" t="s">
        <v>708</v>
      </c>
      <c r="G292" s="2" t="s">
        <v>393</v>
      </c>
      <c r="H292" s="2" t="n">
        <v>7.26</v>
      </c>
      <c r="I292" s="2" t="n">
        <v>1950</v>
      </c>
      <c r="J292" s="2" t="n">
        <v>7.26</v>
      </c>
      <c r="K292" s="2" t="n">
        <v>0.052</v>
      </c>
      <c r="L292" s="2"/>
      <c r="M292" s="2"/>
      <c r="N292" s="2"/>
      <c r="O292" s="2"/>
      <c r="P292" s="2"/>
      <c r="Q292" s="2" t="s">
        <v>71</v>
      </c>
      <c r="R292" s="2" t="s">
        <v>700</v>
      </c>
      <c r="S292" s="2" t="n">
        <v>7.26</v>
      </c>
      <c r="T292" s="2"/>
      <c r="U292" s="2"/>
      <c r="V292" s="2" t="s">
        <v>43</v>
      </c>
    </row>
    <row r="293" customFormat="false" ht="15" hidden="false" customHeight="false" outlineLevel="0" collapsed="false">
      <c r="A293" s="2" t="s">
        <v>706</v>
      </c>
      <c r="B293" s="2" t="s">
        <v>812</v>
      </c>
      <c r="C293" s="2" t="s">
        <v>471</v>
      </c>
      <c r="D293" s="2" t="s">
        <v>450</v>
      </c>
      <c r="E293" s="2" t="s">
        <v>708</v>
      </c>
      <c r="F293" s="2" t="s">
        <v>708</v>
      </c>
      <c r="G293" s="2" t="s">
        <v>393</v>
      </c>
      <c r="H293" s="2" t="n">
        <v>7.32</v>
      </c>
      <c r="I293" s="2" t="n">
        <v>1950</v>
      </c>
      <c r="J293" s="2" t="n">
        <v>7.32</v>
      </c>
      <c r="K293" s="2" t="n">
        <v>0.065</v>
      </c>
      <c r="L293" s="2"/>
      <c r="M293" s="2"/>
      <c r="N293" s="2"/>
      <c r="O293" s="2"/>
      <c r="P293" s="2"/>
      <c r="Q293" s="2" t="s">
        <v>71</v>
      </c>
      <c r="R293" s="2" t="s">
        <v>700</v>
      </c>
      <c r="S293" s="2" t="n">
        <v>7.32</v>
      </c>
      <c r="T293" s="2"/>
      <c r="U293" s="2"/>
      <c r="V293" s="2" t="s">
        <v>43</v>
      </c>
    </row>
    <row r="294" customFormat="false" ht="15" hidden="false" customHeight="false" outlineLevel="0" collapsed="false">
      <c r="A294" s="2" t="s">
        <v>706</v>
      </c>
      <c r="B294" s="2" t="s">
        <v>813</v>
      </c>
      <c r="C294" s="2" t="s">
        <v>445</v>
      </c>
      <c r="D294" s="2" t="s">
        <v>450</v>
      </c>
      <c r="E294" s="2" t="s">
        <v>720</v>
      </c>
      <c r="F294" s="2" t="s">
        <v>708</v>
      </c>
      <c r="G294" s="2" t="s">
        <v>257</v>
      </c>
      <c r="H294" s="2" t="n">
        <v>7.325</v>
      </c>
      <c r="I294" s="2" t="n">
        <v>1950</v>
      </c>
      <c r="J294" s="2" t="n">
        <v>7.356</v>
      </c>
      <c r="K294" s="2" t="n">
        <v>0.1775</v>
      </c>
      <c r="L294" s="2" t="n">
        <v>6800</v>
      </c>
      <c r="M294" s="2" t="n">
        <v>60</v>
      </c>
      <c r="N294" s="2" t="n">
        <v>-248</v>
      </c>
      <c r="O294" s="2" t="n">
        <v>35</v>
      </c>
      <c r="P294" s="2" t="s">
        <v>704</v>
      </c>
      <c r="Q294" s="2" t="s">
        <v>71</v>
      </c>
      <c r="R294" s="2" t="s">
        <v>700</v>
      </c>
      <c r="S294" s="2" t="n">
        <v>7.227</v>
      </c>
      <c r="T294" s="2"/>
      <c r="U294" s="2"/>
      <c r="V294" s="2" t="s">
        <v>43</v>
      </c>
    </row>
    <row r="295" customFormat="false" ht="15" hidden="false" customHeight="false" outlineLevel="0" collapsed="false">
      <c r="A295" s="2" t="s">
        <v>706</v>
      </c>
      <c r="B295" s="2" t="s">
        <v>814</v>
      </c>
      <c r="C295" s="2" t="s">
        <v>484</v>
      </c>
      <c r="D295" s="2" t="s">
        <v>450</v>
      </c>
      <c r="E295" s="2" t="s">
        <v>708</v>
      </c>
      <c r="F295" s="2" t="s">
        <v>708</v>
      </c>
      <c r="G295" s="2" t="s">
        <v>393</v>
      </c>
      <c r="H295" s="2" t="n">
        <v>7.451</v>
      </c>
      <c r="I295" s="2" t="n">
        <v>1950</v>
      </c>
      <c r="J295" s="2" t="n">
        <v>7.451</v>
      </c>
      <c r="K295" s="2" t="n">
        <v>0.054</v>
      </c>
      <c r="L295" s="2"/>
      <c r="M295" s="2"/>
      <c r="N295" s="2"/>
      <c r="O295" s="2"/>
      <c r="P295" s="2"/>
      <c r="Q295" s="2" t="s">
        <v>71</v>
      </c>
      <c r="R295" s="2" t="s">
        <v>700</v>
      </c>
      <c r="S295" s="2" t="n">
        <v>7.451</v>
      </c>
      <c r="T295" s="2"/>
      <c r="U295" s="2"/>
      <c r="V295" s="2" t="s">
        <v>43</v>
      </c>
    </row>
    <row r="296" customFormat="false" ht="15" hidden="false" customHeight="false" outlineLevel="0" collapsed="false">
      <c r="A296" s="2" t="s">
        <v>706</v>
      </c>
      <c r="B296" s="2" t="s">
        <v>815</v>
      </c>
      <c r="C296" s="2" t="s">
        <v>484</v>
      </c>
      <c r="D296" s="2" t="s">
        <v>450</v>
      </c>
      <c r="E296" s="2" t="s">
        <v>708</v>
      </c>
      <c r="F296" s="2" t="s">
        <v>708</v>
      </c>
      <c r="G296" s="2" t="s">
        <v>393</v>
      </c>
      <c r="H296" s="2" t="n">
        <v>7.459</v>
      </c>
      <c r="I296" s="2" t="n">
        <v>1950</v>
      </c>
      <c r="J296" s="2" t="n">
        <v>7.459</v>
      </c>
      <c r="K296" s="2" t="n">
        <v>0.054</v>
      </c>
      <c r="L296" s="2"/>
      <c r="M296" s="2"/>
      <c r="N296" s="2"/>
      <c r="O296" s="2"/>
      <c r="P296" s="2"/>
      <c r="Q296" s="2" t="s">
        <v>71</v>
      </c>
      <c r="R296" s="2" t="s">
        <v>700</v>
      </c>
      <c r="S296" s="2" t="n">
        <v>7.459</v>
      </c>
      <c r="T296" s="2"/>
      <c r="U296" s="2"/>
      <c r="V296" s="2" t="s">
        <v>43</v>
      </c>
    </row>
    <row r="297" customFormat="false" ht="15" hidden="false" customHeight="false" outlineLevel="0" collapsed="false">
      <c r="A297" s="2" t="s">
        <v>706</v>
      </c>
      <c r="B297" s="2" t="s">
        <v>816</v>
      </c>
      <c r="C297" s="2" t="s">
        <v>453</v>
      </c>
      <c r="D297" s="2" t="s">
        <v>39</v>
      </c>
      <c r="E297" s="2" t="s">
        <v>720</v>
      </c>
      <c r="F297" s="2" t="s">
        <v>708</v>
      </c>
      <c r="G297" s="2" t="s">
        <v>257</v>
      </c>
      <c r="H297" s="2" t="n">
        <v>7.46</v>
      </c>
      <c r="I297" s="2" t="n">
        <v>1950</v>
      </c>
      <c r="J297" s="2" t="n">
        <v>7.483</v>
      </c>
      <c r="K297" s="2" t="n">
        <v>0.17</v>
      </c>
      <c r="L297" s="2" t="n">
        <v>6940</v>
      </c>
      <c r="M297" s="2" t="n">
        <v>60</v>
      </c>
      <c r="N297" s="2" t="n">
        <v>-248</v>
      </c>
      <c r="O297" s="2" t="n">
        <v>35</v>
      </c>
      <c r="P297" s="2" t="s">
        <v>704</v>
      </c>
      <c r="Q297" s="2" t="s">
        <v>71</v>
      </c>
      <c r="R297" s="2" t="s">
        <v>700</v>
      </c>
      <c r="S297" s="2" t="n">
        <v>7.36</v>
      </c>
      <c r="T297" s="2"/>
      <c r="U297" s="2"/>
      <c r="V297" s="2" t="s">
        <v>43</v>
      </c>
    </row>
    <row r="298" customFormat="false" ht="15" hidden="false" customHeight="false" outlineLevel="0" collapsed="false">
      <c r="A298" s="2" t="s">
        <v>706</v>
      </c>
      <c r="B298" s="2" t="s">
        <v>817</v>
      </c>
      <c r="C298" s="2" t="s">
        <v>484</v>
      </c>
      <c r="D298" s="2" t="s">
        <v>450</v>
      </c>
      <c r="E298" s="2" t="s">
        <v>708</v>
      </c>
      <c r="F298" s="2" t="s">
        <v>708</v>
      </c>
      <c r="G298" s="2" t="s">
        <v>393</v>
      </c>
      <c r="H298" s="2" t="n">
        <v>7.512</v>
      </c>
      <c r="I298" s="2" t="n">
        <v>1950</v>
      </c>
      <c r="J298" s="2" t="n">
        <v>7.512</v>
      </c>
      <c r="K298" s="2" t="n">
        <v>0.058</v>
      </c>
      <c r="L298" s="2"/>
      <c r="M298" s="2"/>
      <c r="N298" s="2"/>
      <c r="O298" s="2"/>
      <c r="P298" s="2"/>
      <c r="Q298" s="2" t="s">
        <v>71</v>
      </c>
      <c r="R298" s="2" t="s">
        <v>700</v>
      </c>
      <c r="S298" s="2" t="n">
        <v>7.512</v>
      </c>
      <c r="T298" s="2"/>
      <c r="U298" s="2"/>
      <c r="V298" s="2" t="s">
        <v>43</v>
      </c>
    </row>
    <row r="299" customFormat="false" ht="15" hidden="false" customHeight="false" outlineLevel="0" collapsed="false">
      <c r="A299" s="2" t="s">
        <v>706</v>
      </c>
      <c r="B299" s="2" t="s">
        <v>818</v>
      </c>
      <c r="C299" s="2" t="s">
        <v>461</v>
      </c>
      <c r="D299" s="2" t="s">
        <v>450</v>
      </c>
      <c r="E299" s="2" t="s">
        <v>720</v>
      </c>
      <c r="F299" s="2" t="s">
        <v>708</v>
      </c>
      <c r="G299" s="2" t="s">
        <v>257</v>
      </c>
      <c r="H299" s="2" t="n">
        <v>7.66</v>
      </c>
      <c r="I299" s="2" t="n">
        <v>1950</v>
      </c>
      <c r="J299" s="2" t="n">
        <v>7.709</v>
      </c>
      <c r="K299" s="2" t="n">
        <v>0.217</v>
      </c>
      <c r="L299" s="2" t="n">
        <v>7180</v>
      </c>
      <c r="M299" s="2" t="n">
        <v>90</v>
      </c>
      <c r="N299" s="2" t="n">
        <v>-248</v>
      </c>
      <c r="O299" s="2" t="n">
        <v>35</v>
      </c>
      <c r="P299" s="2" t="s">
        <v>704</v>
      </c>
      <c r="Q299" s="2" t="s">
        <v>71</v>
      </c>
      <c r="R299" s="2" t="s">
        <v>700</v>
      </c>
      <c r="S299" s="2" t="n">
        <v>7.582</v>
      </c>
      <c r="T299" s="2"/>
      <c r="U299" s="2"/>
      <c r="V299" s="2" t="s">
        <v>43</v>
      </c>
    </row>
    <row r="300" customFormat="false" ht="15" hidden="false" customHeight="false" outlineLevel="0" collapsed="false">
      <c r="A300" s="2" t="s">
        <v>706</v>
      </c>
      <c r="B300" s="2" t="s">
        <v>819</v>
      </c>
      <c r="C300" s="2" t="s">
        <v>473</v>
      </c>
      <c r="D300" s="2" t="s">
        <v>39</v>
      </c>
      <c r="E300" s="2" t="s">
        <v>720</v>
      </c>
      <c r="F300" s="2" t="s">
        <v>708</v>
      </c>
      <c r="G300" s="2" t="s">
        <v>257</v>
      </c>
      <c r="H300" s="2" t="n">
        <v>7.685</v>
      </c>
      <c r="I300" s="2" t="n">
        <v>1950</v>
      </c>
      <c r="J300" s="2" t="n">
        <v>7.745</v>
      </c>
      <c r="K300" s="2" t="n">
        <v>0.1755</v>
      </c>
      <c r="L300" s="2" t="n">
        <v>7220</v>
      </c>
      <c r="M300" s="2" t="n">
        <v>60</v>
      </c>
      <c r="N300" s="2" t="n">
        <v>-248</v>
      </c>
      <c r="O300" s="2" t="n">
        <v>35</v>
      </c>
      <c r="P300" s="2" t="s">
        <v>704</v>
      </c>
      <c r="Q300" s="2" t="s">
        <v>71</v>
      </c>
      <c r="R300" s="2" t="s">
        <v>700</v>
      </c>
      <c r="S300" s="2" t="n">
        <v>7.618</v>
      </c>
      <c r="T300" s="2"/>
      <c r="U300" s="2"/>
      <c r="V300" s="2" t="s">
        <v>43</v>
      </c>
    </row>
    <row r="301" customFormat="false" ht="15" hidden="false" customHeight="false" outlineLevel="0" collapsed="false">
      <c r="A301" s="2" t="s">
        <v>706</v>
      </c>
      <c r="B301" s="2" t="s">
        <v>820</v>
      </c>
      <c r="C301" s="2" t="s">
        <v>458</v>
      </c>
      <c r="D301" s="2" t="s">
        <v>39</v>
      </c>
      <c r="E301" s="2" t="s">
        <v>720</v>
      </c>
      <c r="F301" s="2" t="s">
        <v>708</v>
      </c>
      <c r="G301" s="2" t="s">
        <v>257</v>
      </c>
      <c r="H301" s="2" t="n">
        <v>7.705</v>
      </c>
      <c r="I301" s="2" t="n">
        <v>1950</v>
      </c>
      <c r="J301" s="2" t="n">
        <v>7.747</v>
      </c>
      <c r="K301" s="2" t="n">
        <v>0.216</v>
      </c>
      <c r="L301" s="2" t="n">
        <v>7220</v>
      </c>
      <c r="M301" s="2" t="n">
        <v>90</v>
      </c>
      <c r="N301" s="2" t="n">
        <v>-248</v>
      </c>
      <c r="O301" s="2" t="n">
        <v>35</v>
      </c>
      <c r="P301" s="2" t="s">
        <v>704</v>
      </c>
      <c r="Q301" s="2" t="s">
        <v>71</v>
      </c>
      <c r="R301" s="2" t="s">
        <v>700</v>
      </c>
      <c r="S301" s="2" t="n">
        <v>7.62</v>
      </c>
      <c r="T301" s="2"/>
      <c r="U301" s="2"/>
      <c r="V301" s="2" t="s">
        <v>43</v>
      </c>
    </row>
    <row r="302" customFormat="false" ht="15" hidden="false" customHeight="false" outlineLevel="0" collapsed="false">
      <c r="A302" s="2" t="s">
        <v>706</v>
      </c>
      <c r="B302" s="2" t="s">
        <v>821</v>
      </c>
      <c r="C302" s="2" t="s">
        <v>471</v>
      </c>
      <c r="D302" s="2" t="s">
        <v>450</v>
      </c>
      <c r="E302" s="2" t="s">
        <v>708</v>
      </c>
      <c r="F302" s="2" t="s">
        <v>708</v>
      </c>
      <c r="G302" s="2" t="s">
        <v>393</v>
      </c>
      <c r="H302" s="2" t="n">
        <v>7.706</v>
      </c>
      <c r="I302" s="2" t="n">
        <v>1950</v>
      </c>
      <c r="J302" s="2" t="n">
        <v>7.706</v>
      </c>
      <c r="K302" s="2" t="n">
        <v>0.055</v>
      </c>
      <c r="L302" s="2"/>
      <c r="M302" s="2"/>
      <c r="N302" s="2"/>
      <c r="O302" s="2"/>
      <c r="P302" s="2"/>
      <c r="Q302" s="2" t="s">
        <v>71</v>
      </c>
      <c r="R302" s="2" t="s">
        <v>700</v>
      </c>
      <c r="S302" s="2" t="n">
        <v>7.706</v>
      </c>
      <c r="T302" s="2"/>
      <c r="U302" s="2"/>
      <c r="V302" s="2" t="s">
        <v>43</v>
      </c>
    </row>
    <row r="303" customFormat="false" ht="15" hidden="false" customHeight="false" outlineLevel="0" collapsed="false">
      <c r="A303" s="2" t="s">
        <v>706</v>
      </c>
      <c r="B303" s="2" t="s">
        <v>822</v>
      </c>
      <c r="C303" s="2" t="s">
        <v>484</v>
      </c>
      <c r="D303" s="2" t="s">
        <v>450</v>
      </c>
      <c r="E303" s="2" t="s">
        <v>720</v>
      </c>
      <c r="F303" s="2" t="s">
        <v>708</v>
      </c>
      <c r="G303" s="2" t="s">
        <v>257</v>
      </c>
      <c r="H303" s="2" t="n">
        <v>7.785</v>
      </c>
      <c r="I303" s="2" t="n">
        <v>1950</v>
      </c>
      <c r="J303" s="2" t="n">
        <v>7.848</v>
      </c>
      <c r="K303" s="2" t="n">
        <v>0.197</v>
      </c>
      <c r="L303" s="2" t="n">
        <v>7326</v>
      </c>
      <c r="M303" s="2" t="n">
        <v>70</v>
      </c>
      <c r="N303" s="2" t="n">
        <v>-248</v>
      </c>
      <c r="O303" s="2" t="n">
        <v>35</v>
      </c>
      <c r="P303" s="2" t="s">
        <v>704</v>
      </c>
      <c r="Q303" s="2" t="s">
        <v>71</v>
      </c>
      <c r="R303" s="2" t="s">
        <v>700</v>
      </c>
      <c r="S303" s="2" t="n">
        <v>7.72</v>
      </c>
      <c r="T303" s="2"/>
      <c r="U303" s="2"/>
      <c r="V303" s="2" t="s">
        <v>43</v>
      </c>
    </row>
    <row r="304" customFormat="false" ht="15" hidden="false" customHeight="false" outlineLevel="0" collapsed="false">
      <c r="A304" s="2" t="s">
        <v>706</v>
      </c>
      <c r="B304" s="2" t="s">
        <v>823</v>
      </c>
      <c r="C304" s="2" t="s">
        <v>460</v>
      </c>
      <c r="D304" s="2" t="s">
        <v>450</v>
      </c>
      <c r="E304" s="2" t="s">
        <v>720</v>
      </c>
      <c r="F304" s="2" t="s">
        <v>708</v>
      </c>
      <c r="G304" s="2" t="s">
        <v>257</v>
      </c>
      <c r="H304" s="2" t="n">
        <v>8.04</v>
      </c>
      <c r="I304" s="2" t="n">
        <v>1950</v>
      </c>
      <c r="J304" s="2" t="n">
        <v>8.1</v>
      </c>
      <c r="K304" s="2" t="n">
        <v>0.188</v>
      </c>
      <c r="L304" s="2" t="n">
        <v>7570</v>
      </c>
      <c r="M304" s="2" t="n">
        <v>60</v>
      </c>
      <c r="N304" s="2" t="n">
        <v>-248</v>
      </c>
      <c r="O304" s="2" t="n">
        <v>35</v>
      </c>
      <c r="P304" s="2" t="s">
        <v>704</v>
      </c>
      <c r="Q304" s="2" t="s">
        <v>71</v>
      </c>
      <c r="R304" s="2" t="s">
        <v>700</v>
      </c>
      <c r="S304" s="2" t="n">
        <v>7.963</v>
      </c>
      <c r="T304" s="2"/>
      <c r="U304" s="2"/>
      <c r="V304" s="2" t="s">
        <v>43</v>
      </c>
    </row>
    <row r="305" customFormat="false" ht="15" hidden="false" customHeight="false" outlineLevel="0" collapsed="false">
      <c r="A305" s="2" t="s">
        <v>706</v>
      </c>
      <c r="B305" s="2" t="s">
        <v>824</v>
      </c>
      <c r="C305" s="2" t="s">
        <v>473</v>
      </c>
      <c r="D305" s="2" t="s">
        <v>39</v>
      </c>
      <c r="E305" s="2" t="s">
        <v>708</v>
      </c>
      <c r="F305" s="2" t="s">
        <v>708</v>
      </c>
      <c r="G305" s="2" t="s">
        <v>393</v>
      </c>
      <c r="H305" s="2" t="n">
        <v>8.148</v>
      </c>
      <c r="I305" s="2" t="n">
        <v>1950</v>
      </c>
      <c r="J305" s="2" t="n">
        <v>8.148</v>
      </c>
      <c r="K305" s="2" t="n">
        <v>0.052</v>
      </c>
      <c r="L305" s="2"/>
      <c r="M305" s="2"/>
      <c r="N305" s="2"/>
      <c r="O305" s="2"/>
      <c r="P305" s="2"/>
      <c r="Q305" s="2" t="s">
        <v>71</v>
      </c>
      <c r="R305" s="2" t="s">
        <v>700</v>
      </c>
      <c r="S305" s="2" t="n">
        <v>8.148</v>
      </c>
      <c r="T305" s="2"/>
      <c r="U305" s="2"/>
      <c r="V305" s="2" t="s">
        <v>43</v>
      </c>
    </row>
    <row r="306" customFormat="false" ht="15" hidden="false" customHeight="false" outlineLevel="0" collapsed="false">
      <c r="A306" s="2" t="s">
        <v>706</v>
      </c>
      <c r="B306" s="2" t="s">
        <v>825</v>
      </c>
      <c r="C306" s="2" t="s">
        <v>456</v>
      </c>
      <c r="D306" s="2" t="s">
        <v>450</v>
      </c>
      <c r="E306" s="2" t="s">
        <v>708</v>
      </c>
      <c r="F306" s="2" t="s">
        <v>708</v>
      </c>
      <c r="G306" s="2" t="s">
        <v>393</v>
      </c>
      <c r="H306" s="2" t="n">
        <v>8.165</v>
      </c>
      <c r="I306" s="2" t="n">
        <v>1950</v>
      </c>
      <c r="J306" s="2" t="n">
        <v>8.165</v>
      </c>
      <c r="K306" s="2" t="n">
        <v>0.076</v>
      </c>
      <c r="L306" s="2"/>
      <c r="M306" s="2"/>
      <c r="N306" s="2"/>
      <c r="O306" s="2"/>
      <c r="P306" s="2"/>
      <c r="Q306" s="2" t="s">
        <v>71</v>
      </c>
      <c r="R306" s="2" t="s">
        <v>700</v>
      </c>
      <c r="S306" s="2" t="n">
        <v>8.165</v>
      </c>
      <c r="T306" s="2"/>
      <c r="U306" s="2"/>
      <c r="V306" s="2" t="s">
        <v>43</v>
      </c>
    </row>
    <row r="307" customFormat="false" ht="15" hidden="false" customHeight="false" outlineLevel="0" collapsed="false">
      <c r="A307" s="2" t="s">
        <v>706</v>
      </c>
      <c r="B307" s="2" t="s">
        <v>826</v>
      </c>
      <c r="C307" s="2" t="s">
        <v>471</v>
      </c>
      <c r="D307" s="2" t="s">
        <v>450</v>
      </c>
      <c r="E307" s="2" t="s">
        <v>720</v>
      </c>
      <c r="F307" s="2" t="s">
        <v>708</v>
      </c>
      <c r="G307" s="2" t="s">
        <v>257</v>
      </c>
      <c r="H307" s="2" t="n">
        <v>8.26</v>
      </c>
      <c r="I307" s="2" t="n">
        <v>1950</v>
      </c>
      <c r="J307" s="2" t="n">
        <v>8.331</v>
      </c>
      <c r="K307" s="2" t="n">
        <v>0.192</v>
      </c>
      <c r="L307" s="2" t="n">
        <v>7790</v>
      </c>
      <c r="M307" s="2" t="n">
        <v>60</v>
      </c>
      <c r="N307" s="2" t="n">
        <v>-248</v>
      </c>
      <c r="O307" s="2" t="n">
        <v>35</v>
      </c>
      <c r="P307" s="2" t="s">
        <v>704</v>
      </c>
      <c r="Q307" s="2" t="s">
        <v>71</v>
      </c>
      <c r="R307" s="2" t="s">
        <v>700</v>
      </c>
      <c r="S307" s="2" t="n">
        <v>8.191</v>
      </c>
      <c r="T307" s="2"/>
      <c r="U307" s="2"/>
      <c r="V307" s="2" t="s">
        <v>43</v>
      </c>
    </row>
    <row r="308" customFormat="false" ht="15" hidden="false" customHeight="false" outlineLevel="0" collapsed="false">
      <c r="A308" s="2" t="s">
        <v>706</v>
      </c>
      <c r="B308" s="2" t="s">
        <v>827</v>
      </c>
      <c r="C308" s="2" t="s">
        <v>458</v>
      </c>
      <c r="D308" s="2" t="s">
        <v>39</v>
      </c>
      <c r="E308" s="2" t="s">
        <v>708</v>
      </c>
      <c r="F308" s="2" t="s">
        <v>708</v>
      </c>
      <c r="G308" s="2" t="s">
        <v>393</v>
      </c>
      <c r="H308" s="2" t="n">
        <v>8.307</v>
      </c>
      <c r="I308" s="2" t="n">
        <v>1950</v>
      </c>
      <c r="J308" s="2" t="n">
        <v>8.307</v>
      </c>
      <c r="K308" s="2" t="n">
        <v>0.064</v>
      </c>
      <c r="L308" s="2"/>
      <c r="M308" s="2"/>
      <c r="N308" s="2"/>
      <c r="O308" s="2"/>
      <c r="P308" s="2"/>
      <c r="Q308" s="2" t="s">
        <v>71</v>
      </c>
      <c r="R308" s="2" t="s">
        <v>700</v>
      </c>
      <c r="S308" s="2" t="n">
        <v>8.307</v>
      </c>
      <c r="T308" s="2"/>
      <c r="U308" s="2"/>
      <c r="V308" s="2" t="s">
        <v>43</v>
      </c>
    </row>
    <row r="309" customFormat="false" ht="15" hidden="false" customHeight="false" outlineLevel="0" collapsed="false">
      <c r="A309" s="2" t="s">
        <v>706</v>
      </c>
      <c r="B309" s="2" t="s">
        <v>828</v>
      </c>
      <c r="C309" s="2" t="s">
        <v>461</v>
      </c>
      <c r="D309" s="2" t="s">
        <v>450</v>
      </c>
      <c r="E309" s="2" t="s">
        <v>708</v>
      </c>
      <c r="F309" s="2" t="s">
        <v>708</v>
      </c>
      <c r="G309" s="2" t="s">
        <v>393</v>
      </c>
      <c r="H309" s="2" t="n">
        <v>8.521</v>
      </c>
      <c r="I309" s="2" t="n">
        <v>1950</v>
      </c>
      <c r="J309" s="2" t="n">
        <v>8.521</v>
      </c>
      <c r="K309" s="2" t="n">
        <v>0.08</v>
      </c>
      <c r="L309" s="2"/>
      <c r="M309" s="2"/>
      <c r="N309" s="2"/>
      <c r="O309" s="2"/>
      <c r="P309" s="2"/>
      <c r="Q309" s="2" t="s">
        <v>71</v>
      </c>
      <c r="R309" s="2" t="s">
        <v>700</v>
      </c>
      <c r="S309" s="2" t="n">
        <v>8.521</v>
      </c>
      <c r="T309" s="2"/>
      <c r="U309" s="2"/>
      <c r="V309" s="2" t="s">
        <v>43</v>
      </c>
    </row>
    <row r="310" customFormat="false" ht="15" hidden="false" customHeight="false" outlineLevel="0" collapsed="false">
      <c r="A310" s="2" t="s">
        <v>706</v>
      </c>
      <c r="B310" s="2" t="s">
        <v>829</v>
      </c>
      <c r="C310" s="2" t="s">
        <v>473</v>
      </c>
      <c r="D310" s="2" t="s">
        <v>450</v>
      </c>
      <c r="E310" s="2" t="s">
        <v>708</v>
      </c>
      <c r="F310" s="2" t="s">
        <v>708</v>
      </c>
      <c r="G310" s="2" t="s">
        <v>393</v>
      </c>
      <c r="H310" s="2" t="n">
        <v>9.002</v>
      </c>
      <c r="I310" s="2" t="n">
        <v>1950</v>
      </c>
      <c r="J310" s="2" t="n">
        <v>9.002</v>
      </c>
      <c r="K310" s="2" t="n">
        <v>0.074</v>
      </c>
      <c r="L310" s="2"/>
      <c r="M310" s="2"/>
      <c r="N310" s="2"/>
      <c r="O310" s="2"/>
      <c r="P310" s="2"/>
      <c r="Q310" s="2" t="s">
        <v>71</v>
      </c>
      <c r="R310" s="2" t="s">
        <v>700</v>
      </c>
      <c r="S310" s="2" t="n">
        <v>9.002</v>
      </c>
      <c r="T310" s="2"/>
      <c r="U310" s="2"/>
      <c r="V310" s="2" t="s">
        <v>43</v>
      </c>
    </row>
    <row r="311" customFormat="false" ht="15" hidden="false" customHeight="false" outlineLevel="0" collapsed="false">
      <c r="A311" s="2" t="s">
        <v>830</v>
      </c>
      <c r="B311" s="2" t="s">
        <v>513</v>
      </c>
      <c r="C311" s="2" t="s">
        <v>513</v>
      </c>
      <c r="D311" s="2" t="s">
        <v>39</v>
      </c>
      <c r="E311" s="2" t="s">
        <v>831</v>
      </c>
      <c r="F311" s="2" t="s">
        <v>832</v>
      </c>
      <c r="G311" s="2" t="s">
        <v>257</v>
      </c>
      <c r="H311" s="2" t="n">
        <v>4.239</v>
      </c>
      <c r="I311" s="2" t="n">
        <v>1950</v>
      </c>
      <c r="J311" s="2" t="n">
        <v>4.247</v>
      </c>
      <c r="K311" s="2" t="n">
        <v>0.1565</v>
      </c>
      <c r="L311" s="2" t="n">
        <v>4110</v>
      </c>
      <c r="M311" s="2" t="n">
        <v>20</v>
      </c>
      <c r="N311" s="2" t="n">
        <v>-201.670178</v>
      </c>
      <c r="O311" s="2" t="n">
        <v>18.886833</v>
      </c>
      <c r="P311" s="2" t="s">
        <v>704</v>
      </c>
      <c r="Q311" s="2" t="s">
        <v>43</v>
      </c>
      <c r="R311" s="2" t="s">
        <v>700</v>
      </c>
      <c r="S311" s="2"/>
      <c r="T311" s="2" t="s">
        <v>515</v>
      </c>
      <c r="U311" s="2" t="n">
        <v>4.247</v>
      </c>
      <c r="V311" s="2" t="s">
        <v>43</v>
      </c>
    </row>
    <row r="312" customFormat="false" ht="15" hidden="false" customHeight="false" outlineLevel="0" collapsed="false">
      <c r="A312" s="2" t="s">
        <v>830</v>
      </c>
      <c r="B312" s="2" t="s">
        <v>517</v>
      </c>
      <c r="C312" s="2" t="s">
        <v>517</v>
      </c>
      <c r="D312" s="2" t="s">
        <v>39</v>
      </c>
      <c r="E312" s="2" t="s">
        <v>831</v>
      </c>
      <c r="F312" s="2" t="s">
        <v>832</v>
      </c>
      <c r="G312" s="2" t="s">
        <v>257</v>
      </c>
      <c r="H312" s="2" t="n">
        <v>3.761</v>
      </c>
      <c r="I312" s="2" t="n">
        <v>1950</v>
      </c>
      <c r="J312" s="2" t="n">
        <v>3.762</v>
      </c>
      <c r="K312" s="2" t="n">
        <v>0.1555</v>
      </c>
      <c r="L312" s="2" t="n">
        <v>3790</v>
      </c>
      <c r="M312" s="2" t="n">
        <v>20</v>
      </c>
      <c r="N312" s="2" t="n">
        <v>-173.178189</v>
      </c>
      <c r="O312" s="2" t="n">
        <v>17.105691</v>
      </c>
      <c r="P312" s="2" t="s">
        <v>704</v>
      </c>
      <c r="Q312" s="2" t="s">
        <v>43</v>
      </c>
      <c r="R312" s="2" t="s">
        <v>700</v>
      </c>
      <c r="S312" s="2"/>
      <c r="T312" s="2" t="s">
        <v>515</v>
      </c>
      <c r="U312" s="2" t="n">
        <v>3.762</v>
      </c>
      <c r="V312" s="2" t="s">
        <v>43</v>
      </c>
    </row>
    <row r="313" customFormat="false" ht="15" hidden="false" customHeight="false" outlineLevel="0" collapsed="false">
      <c r="A313" s="2" t="s">
        <v>830</v>
      </c>
      <c r="B313" s="2" t="s">
        <v>518</v>
      </c>
      <c r="C313" s="2" t="s">
        <v>518</v>
      </c>
      <c r="D313" s="2" t="s">
        <v>39</v>
      </c>
      <c r="E313" s="2" t="s">
        <v>831</v>
      </c>
      <c r="F313" s="2" t="s">
        <v>832</v>
      </c>
      <c r="G313" s="2" t="s">
        <v>257</v>
      </c>
      <c r="H313" s="2" t="n">
        <v>4.485</v>
      </c>
      <c r="I313" s="2" t="n">
        <v>1950</v>
      </c>
      <c r="J313" s="2" t="n">
        <v>4.503</v>
      </c>
      <c r="K313" s="2" t="n">
        <v>0.1815</v>
      </c>
      <c r="L313" s="2" t="n">
        <v>4290</v>
      </c>
      <c r="M313" s="2" t="n">
        <v>30</v>
      </c>
      <c r="N313" s="2" t="n">
        <v>-212.366897</v>
      </c>
      <c r="O313" s="2" t="n">
        <v>19.56831</v>
      </c>
      <c r="P313" s="2" t="s">
        <v>704</v>
      </c>
      <c r="Q313" s="2" t="s">
        <v>43</v>
      </c>
      <c r="R313" s="2" t="s">
        <v>700</v>
      </c>
      <c r="S313" s="2"/>
      <c r="T313" s="2" t="s">
        <v>515</v>
      </c>
      <c r="U313" s="2" t="n">
        <v>4.503</v>
      </c>
      <c r="V313" s="2" t="s">
        <v>43</v>
      </c>
    </row>
    <row r="314" customFormat="false" ht="15" hidden="false" customHeight="false" outlineLevel="0" collapsed="false">
      <c r="A314" s="2" t="s">
        <v>830</v>
      </c>
      <c r="B314" s="2" t="s">
        <v>519</v>
      </c>
      <c r="C314" s="2" t="s">
        <v>519</v>
      </c>
      <c r="D314" s="2" t="s">
        <v>39</v>
      </c>
      <c r="E314" s="2" t="s">
        <v>831</v>
      </c>
      <c r="F314" s="2" t="s">
        <v>832</v>
      </c>
      <c r="G314" s="2" t="s">
        <v>257</v>
      </c>
      <c r="H314" s="2" t="n">
        <v>5.932</v>
      </c>
      <c r="I314" s="2" t="n">
        <v>1950</v>
      </c>
      <c r="J314" s="2" t="n">
        <v>5.953</v>
      </c>
      <c r="K314" s="2" t="n">
        <v>0.1645</v>
      </c>
      <c r="L314" s="2" t="n">
        <v>5460</v>
      </c>
      <c r="M314" s="2" t="n">
        <v>20</v>
      </c>
      <c r="N314" s="2" t="n">
        <v>-239.37234</v>
      </c>
      <c r="O314" s="2" t="n">
        <v>21.369507</v>
      </c>
      <c r="P314" s="2" t="s">
        <v>704</v>
      </c>
      <c r="Q314" s="2" t="s">
        <v>71</v>
      </c>
      <c r="R314" s="2" t="s">
        <v>700</v>
      </c>
      <c r="S314" s="2"/>
      <c r="T314" s="2" t="s">
        <v>515</v>
      </c>
      <c r="U314" s="2" t="n">
        <v>5.953</v>
      </c>
      <c r="V314" s="2" t="s">
        <v>71</v>
      </c>
    </row>
    <row r="315" customFormat="false" ht="15" hidden="false" customHeight="false" outlineLevel="0" collapsed="false">
      <c r="A315" s="2" t="s">
        <v>830</v>
      </c>
      <c r="B315" s="2" t="s">
        <v>520</v>
      </c>
      <c r="C315" s="2" t="s">
        <v>520</v>
      </c>
      <c r="D315" s="2" t="s">
        <v>39</v>
      </c>
      <c r="E315" s="2" t="s">
        <v>831</v>
      </c>
      <c r="F315" s="2" t="s">
        <v>832</v>
      </c>
      <c r="G315" s="2" t="s">
        <v>257</v>
      </c>
      <c r="H315" s="2" t="n">
        <v>5.638</v>
      </c>
      <c r="I315" s="2" t="n">
        <v>1950</v>
      </c>
      <c r="J315" s="2" t="n">
        <v>5.637</v>
      </c>
      <c r="K315" s="2" t="n">
        <v>0.15</v>
      </c>
      <c r="L315" s="2" t="n">
        <v>5270</v>
      </c>
      <c r="M315" s="2" t="n">
        <v>25</v>
      </c>
      <c r="N315" s="2" t="n">
        <v>-162.247346</v>
      </c>
      <c r="O315" s="2" t="n">
        <v>29.2626</v>
      </c>
      <c r="P315" s="2" t="s">
        <v>704</v>
      </c>
      <c r="Q315" s="2" t="s">
        <v>71</v>
      </c>
      <c r="R315" s="2" t="s">
        <v>700</v>
      </c>
      <c r="S315" s="2"/>
      <c r="T315" s="2" t="s">
        <v>515</v>
      </c>
      <c r="U315" s="2" t="n">
        <v>5.637</v>
      </c>
      <c r="V315" s="2" t="s">
        <v>71</v>
      </c>
    </row>
    <row r="316" customFormat="false" ht="15" hidden="false" customHeight="false" outlineLevel="0" collapsed="false">
      <c r="A316" s="2" t="s">
        <v>830</v>
      </c>
      <c r="B316" s="2" t="s">
        <v>522</v>
      </c>
      <c r="C316" s="2" t="s">
        <v>522</v>
      </c>
      <c r="D316" s="2" t="s">
        <v>39</v>
      </c>
      <c r="E316" s="2" t="s">
        <v>831</v>
      </c>
      <c r="F316" s="2" t="s">
        <v>832</v>
      </c>
      <c r="G316" s="2" t="s">
        <v>257</v>
      </c>
      <c r="H316" s="2" t="n">
        <v>4.774</v>
      </c>
      <c r="I316" s="2" t="n">
        <v>1950</v>
      </c>
      <c r="J316" s="2" t="n">
        <v>4.76</v>
      </c>
      <c r="K316" s="2" t="n">
        <v>0.169</v>
      </c>
      <c r="L316" s="2" t="n">
        <v>4535</v>
      </c>
      <c r="M316" s="2" t="n">
        <v>30</v>
      </c>
      <c r="N316" s="2" t="n">
        <v>-176.78501</v>
      </c>
      <c r="O316" s="2" t="n">
        <v>30.020353</v>
      </c>
      <c r="P316" s="2" t="s">
        <v>704</v>
      </c>
      <c r="Q316" s="2" t="s">
        <v>71</v>
      </c>
      <c r="R316" s="2" t="s">
        <v>700</v>
      </c>
      <c r="S316" s="2"/>
      <c r="T316" s="2" t="s">
        <v>515</v>
      </c>
      <c r="U316" s="2" t="n">
        <v>4.76</v>
      </c>
      <c r="V316" s="2" t="s">
        <v>71</v>
      </c>
    </row>
    <row r="317" customFormat="false" ht="15" hidden="false" customHeight="false" outlineLevel="0" collapsed="false">
      <c r="A317" s="2" t="s">
        <v>830</v>
      </c>
      <c r="B317" s="2" t="s">
        <v>524</v>
      </c>
      <c r="C317" s="2" t="s">
        <v>524</v>
      </c>
      <c r="D317" s="2" t="s">
        <v>39</v>
      </c>
      <c r="E317" s="2" t="s">
        <v>831</v>
      </c>
      <c r="F317" s="2" t="s">
        <v>832</v>
      </c>
      <c r="G317" s="2" t="s">
        <v>257</v>
      </c>
      <c r="H317" s="2" t="n">
        <v>4.876</v>
      </c>
      <c r="I317" s="2" t="n">
        <v>1950</v>
      </c>
      <c r="J317" s="2" t="n">
        <v>4.879</v>
      </c>
      <c r="K317" s="2" t="n">
        <v>0.164</v>
      </c>
      <c r="L317" s="2" t="n">
        <v>4630</v>
      </c>
      <c r="M317" s="2" t="n">
        <v>25</v>
      </c>
      <c r="N317" s="2" t="n">
        <v>-172.80594</v>
      </c>
      <c r="O317" s="2" t="n">
        <v>29.48584</v>
      </c>
      <c r="P317" s="2" t="s">
        <v>704</v>
      </c>
      <c r="Q317" s="2" t="s">
        <v>71</v>
      </c>
      <c r="R317" s="2" t="s">
        <v>700</v>
      </c>
      <c r="S317" s="2"/>
      <c r="T317" s="2" t="s">
        <v>515</v>
      </c>
      <c r="U317" s="2" t="n">
        <v>4.879</v>
      </c>
      <c r="V317" s="2" t="s">
        <v>71</v>
      </c>
    </row>
    <row r="318" customFormat="false" ht="15" hidden="false" customHeight="false" outlineLevel="0" collapsed="false">
      <c r="A318" s="2" t="s">
        <v>830</v>
      </c>
      <c r="B318" s="2" t="s">
        <v>525</v>
      </c>
      <c r="C318" s="2" t="s">
        <v>525</v>
      </c>
      <c r="D318" s="2" t="s">
        <v>39</v>
      </c>
      <c r="E318" s="2" t="s">
        <v>831</v>
      </c>
      <c r="F318" s="2" t="s">
        <v>832</v>
      </c>
      <c r="G318" s="2" t="s">
        <v>257</v>
      </c>
      <c r="H318" s="2" t="n">
        <v>5.501</v>
      </c>
      <c r="I318" s="2" t="n">
        <v>1950</v>
      </c>
      <c r="J318" s="2" t="n">
        <v>5.469</v>
      </c>
      <c r="K318" s="2" t="n">
        <v>0.135</v>
      </c>
      <c r="L318" s="2" t="n">
        <v>5115</v>
      </c>
      <c r="M318" s="2" t="n">
        <v>25</v>
      </c>
      <c r="N318" s="2" t="n">
        <v>-163.213424</v>
      </c>
      <c r="O318" s="2" t="n">
        <v>29.524826</v>
      </c>
      <c r="P318" s="2" t="s">
        <v>704</v>
      </c>
      <c r="Q318" s="2" t="s">
        <v>71</v>
      </c>
      <c r="R318" s="2" t="s">
        <v>700</v>
      </c>
      <c r="S318" s="2"/>
      <c r="T318" s="2" t="s">
        <v>515</v>
      </c>
      <c r="U318" s="2" t="n">
        <v>5.469</v>
      </c>
      <c r="V318" s="2" t="s">
        <v>71</v>
      </c>
    </row>
    <row r="319" customFormat="false" ht="15" hidden="false" customHeight="false" outlineLevel="0" collapsed="false">
      <c r="A319" s="2" t="s">
        <v>830</v>
      </c>
      <c r="B319" s="2" t="s">
        <v>526</v>
      </c>
      <c r="C319" s="2" t="s">
        <v>526</v>
      </c>
      <c r="D319" s="2" t="s">
        <v>39</v>
      </c>
      <c r="E319" s="2" t="s">
        <v>831</v>
      </c>
      <c r="F319" s="2" t="s">
        <v>832</v>
      </c>
      <c r="G319" s="2" t="s">
        <v>257</v>
      </c>
      <c r="H319" s="2" t="n">
        <v>1.107</v>
      </c>
      <c r="I319" s="2" t="n">
        <v>1950</v>
      </c>
      <c r="J319" s="2" t="n">
        <v>0.949</v>
      </c>
      <c r="K319" s="2" t="n">
        <v>0.1395</v>
      </c>
      <c r="L319" s="2" t="n">
        <v>1510</v>
      </c>
      <c r="M319" s="2" t="n">
        <v>25</v>
      </c>
      <c r="N319" s="2" t="n">
        <v>-187.183252</v>
      </c>
      <c r="O319" s="2" t="n">
        <v>25.936418</v>
      </c>
      <c r="P319" s="2" t="s">
        <v>704</v>
      </c>
      <c r="Q319" s="2" t="s">
        <v>71</v>
      </c>
      <c r="R319" s="2" t="s">
        <v>700</v>
      </c>
      <c r="S319" s="2"/>
      <c r="T319" s="2" t="s">
        <v>515</v>
      </c>
      <c r="U319" s="2" t="n">
        <v>0.949</v>
      </c>
      <c r="V319" s="2" t="s">
        <v>71</v>
      </c>
    </row>
    <row r="320" customFormat="false" ht="15" hidden="false" customHeight="false" outlineLevel="0" collapsed="false">
      <c r="A320" s="2" t="s">
        <v>830</v>
      </c>
      <c r="B320" s="2" t="s">
        <v>528</v>
      </c>
      <c r="C320" s="2" t="s">
        <v>528</v>
      </c>
      <c r="D320" s="2" t="s">
        <v>39</v>
      </c>
      <c r="E320" s="2" t="s">
        <v>831</v>
      </c>
      <c r="F320" s="2" t="s">
        <v>832</v>
      </c>
      <c r="G320" s="2" t="s">
        <v>257</v>
      </c>
      <c r="H320" s="2" t="n">
        <v>0.851</v>
      </c>
      <c r="I320" s="2" t="n">
        <v>1950</v>
      </c>
      <c r="J320" s="2" t="n">
        <v>0.663</v>
      </c>
      <c r="K320" s="2" t="n">
        <v>0.1745</v>
      </c>
      <c r="L320" s="2" t="n">
        <v>1270</v>
      </c>
      <c r="M320" s="2" t="n">
        <v>65</v>
      </c>
      <c r="N320" s="2" t="n">
        <v>-191.320364</v>
      </c>
      <c r="O320" s="2" t="n">
        <v>28.825329</v>
      </c>
      <c r="P320" s="2" t="s">
        <v>704</v>
      </c>
      <c r="Q320" s="2" t="s">
        <v>71</v>
      </c>
      <c r="R320" s="2" t="s">
        <v>700</v>
      </c>
      <c r="S320" s="2"/>
      <c r="T320" s="2" t="s">
        <v>515</v>
      </c>
      <c r="U320" s="2" t="n">
        <v>0.663</v>
      </c>
      <c r="V320" s="2" t="s">
        <v>71</v>
      </c>
    </row>
    <row r="321" customFormat="false" ht="15" hidden="false" customHeight="false" outlineLevel="0" collapsed="false">
      <c r="A321" s="2" t="s">
        <v>830</v>
      </c>
      <c r="B321" s="2" t="s">
        <v>529</v>
      </c>
      <c r="C321" s="2" t="s">
        <v>529</v>
      </c>
      <c r="D321" s="2" t="s">
        <v>39</v>
      </c>
      <c r="E321" s="2" t="s">
        <v>831</v>
      </c>
      <c r="F321" s="2" t="s">
        <v>832</v>
      </c>
      <c r="G321" s="2" t="s">
        <v>257</v>
      </c>
      <c r="H321" s="2" t="n">
        <v>5.473</v>
      </c>
      <c r="I321" s="2" t="n">
        <v>1950</v>
      </c>
      <c r="J321" s="2" t="n">
        <v>5.294</v>
      </c>
      <c r="K321" s="2" t="n">
        <v>0.137</v>
      </c>
      <c r="L321" s="2" t="n">
        <v>5090</v>
      </c>
      <c r="M321" s="2" t="n">
        <v>25</v>
      </c>
      <c r="N321" s="2" t="n">
        <v>-163.315073</v>
      </c>
      <c r="O321" s="2" t="n">
        <v>29.513699</v>
      </c>
      <c r="P321" s="2" t="s">
        <v>704</v>
      </c>
      <c r="Q321" s="2" t="s">
        <v>71</v>
      </c>
      <c r="R321" s="2" t="s">
        <v>700</v>
      </c>
      <c r="S321" s="2"/>
      <c r="T321" s="2" t="s">
        <v>515</v>
      </c>
      <c r="U321" s="2" t="n">
        <v>5.294</v>
      </c>
      <c r="V321" s="2" t="s">
        <v>71</v>
      </c>
    </row>
    <row r="322" customFormat="false" ht="15" hidden="false" customHeight="false" outlineLevel="0" collapsed="false">
      <c r="A322" s="2" t="s">
        <v>830</v>
      </c>
      <c r="B322" s="2" t="s">
        <v>530</v>
      </c>
      <c r="C322" s="2" t="s">
        <v>530</v>
      </c>
      <c r="D322" s="2" t="s">
        <v>39</v>
      </c>
      <c r="E322" s="2" t="s">
        <v>831</v>
      </c>
      <c r="F322" s="2" t="s">
        <v>832</v>
      </c>
      <c r="G322" s="2" t="s">
        <v>257</v>
      </c>
      <c r="H322" s="2" t="n">
        <v>4.555</v>
      </c>
      <c r="I322" s="2" t="n">
        <v>1950</v>
      </c>
      <c r="J322" s="2" t="n">
        <v>4.198</v>
      </c>
      <c r="K322" s="2" t="n">
        <v>0.326</v>
      </c>
      <c r="L322" s="2" t="n">
        <v>4362</v>
      </c>
      <c r="M322" s="2" t="n">
        <v>119</v>
      </c>
      <c r="N322" s="2" t="n">
        <v>-182.865553</v>
      </c>
      <c r="O322" s="2" t="n">
        <v>30.948817</v>
      </c>
      <c r="P322" s="2" t="s">
        <v>704</v>
      </c>
      <c r="Q322" s="2" t="s">
        <v>71</v>
      </c>
      <c r="R322" s="2" t="s">
        <v>700</v>
      </c>
      <c r="S322" s="2"/>
      <c r="T322" s="2" t="s">
        <v>515</v>
      </c>
      <c r="U322" s="2" t="n">
        <v>4.198</v>
      </c>
      <c r="V322" s="2" t="s">
        <v>71</v>
      </c>
    </row>
    <row r="323" customFormat="false" ht="15" hidden="false" customHeight="false" outlineLevel="0" collapsed="false">
      <c r="A323" s="2" t="s">
        <v>830</v>
      </c>
      <c r="B323" s="2" t="s">
        <v>531</v>
      </c>
      <c r="C323" s="2" t="s">
        <v>531</v>
      </c>
      <c r="D323" s="2" t="s">
        <v>39</v>
      </c>
      <c r="E323" s="2" t="s">
        <v>831</v>
      </c>
      <c r="F323" s="2" t="s">
        <v>832</v>
      </c>
      <c r="G323" s="2" t="s">
        <v>257</v>
      </c>
      <c r="H323" s="2" t="n">
        <v>0.999</v>
      </c>
      <c r="I323" s="2" t="n">
        <v>1950</v>
      </c>
      <c r="J323" s="2" t="n">
        <v>0.992</v>
      </c>
      <c r="K323" s="2" t="n">
        <v>0.14</v>
      </c>
      <c r="L323" s="2" t="n">
        <v>1415</v>
      </c>
      <c r="M323" s="2" t="n">
        <v>25</v>
      </c>
      <c r="N323" s="2" t="n">
        <v>-188.449488</v>
      </c>
      <c r="O323" s="2" t="n">
        <v>26.746862</v>
      </c>
      <c r="P323" s="2" t="s">
        <v>704</v>
      </c>
      <c r="Q323" s="2" t="s">
        <v>71</v>
      </c>
      <c r="R323" s="2" t="s">
        <v>700</v>
      </c>
      <c r="S323" s="2"/>
      <c r="T323" s="2" t="s">
        <v>515</v>
      </c>
      <c r="U323" s="2" t="n">
        <v>0.992</v>
      </c>
      <c r="V323" s="2" t="s">
        <v>71</v>
      </c>
    </row>
    <row r="324" customFormat="false" ht="15" hidden="false" customHeight="false" outlineLevel="0" collapsed="false">
      <c r="A324" s="2" t="s">
        <v>830</v>
      </c>
      <c r="B324" s="2" t="s">
        <v>533</v>
      </c>
      <c r="C324" s="2" t="s">
        <v>533</v>
      </c>
      <c r="D324" s="2" t="s">
        <v>39</v>
      </c>
      <c r="E324" s="2" t="s">
        <v>831</v>
      </c>
      <c r="F324" s="2" t="s">
        <v>832</v>
      </c>
      <c r="G324" s="2" t="s">
        <v>257</v>
      </c>
      <c r="H324" s="2" t="n">
        <v>5.687</v>
      </c>
      <c r="I324" s="2" t="n">
        <v>1950</v>
      </c>
      <c r="J324" s="2" t="n">
        <v>5.69</v>
      </c>
      <c r="K324" s="2" t="n">
        <v>0.1575</v>
      </c>
      <c r="L324" s="2" t="n">
        <v>5320</v>
      </c>
      <c r="M324" s="2" t="n">
        <v>25</v>
      </c>
      <c r="N324" s="2" t="n">
        <v>-161.618678</v>
      </c>
      <c r="O324" s="2" t="n">
        <v>29.105943</v>
      </c>
      <c r="P324" s="2" t="s">
        <v>704</v>
      </c>
      <c r="Q324" s="2" t="s">
        <v>71</v>
      </c>
      <c r="R324" s="2" t="s">
        <v>700</v>
      </c>
      <c r="S324" s="2"/>
      <c r="T324" s="2" t="s">
        <v>515</v>
      </c>
      <c r="U324" s="2" t="n">
        <v>5.69</v>
      </c>
      <c r="V324" s="2" t="s">
        <v>71</v>
      </c>
    </row>
    <row r="325" customFormat="false" ht="15" hidden="false" customHeight="false" outlineLevel="0" collapsed="false">
      <c r="A325" s="2" t="s">
        <v>830</v>
      </c>
      <c r="B325" s="2" t="s">
        <v>534</v>
      </c>
      <c r="C325" s="2" t="s">
        <v>534</v>
      </c>
      <c r="D325" s="2" t="s">
        <v>39</v>
      </c>
      <c r="E325" s="2" t="s">
        <v>831</v>
      </c>
      <c r="F325" s="2" t="s">
        <v>832</v>
      </c>
      <c r="G325" s="2" t="s">
        <v>257</v>
      </c>
      <c r="H325" s="2" t="n">
        <v>5.897</v>
      </c>
      <c r="I325" s="2" t="n">
        <v>1950</v>
      </c>
      <c r="J325" s="2" t="n">
        <v>5.888</v>
      </c>
      <c r="K325" s="2" t="n">
        <v>0.1615</v>
      </c>
      <c r="L325" s="2" t="n">
        <v>5505</v>
      </c>
      <c r="M325" s="2" t="n">
        <v>30</v>
      </c>
      <c r="N325" s="2" t="n">
        <v>-157.406643</v>
      </c>
      <c r="O325" s="2" t="n">
        <v>28.380166</v>
      </c>
      <c r="P325" s="2" t="s">
        <v>704</v>
      </c>
      <c r="Q325" s="2" t="s">
        <v>71</v>
      </c>
      <c r="R325" s="2" t="s">
        <v>700</v>
      </c>
      <c r="S325" s="2"/>
      <c r="T325" s="2" t="s">
        <v>515</v>
      </c>
      <c r="U325" s="2" t="n">
        <v>5.888</v>
      </c>
      <c r="V325" s="2" t="s">
        <v>71</v>
      </c>
    </row>
    <row r="326" customFormat="false" ht="15" hidden="false" customHeight="false" outlineLevel="0" collapsed="false">
      <c r="A326" s="2" t="s">
        <v>830</v>
      </c>
      <c r="B326" s="2" t="s">
        <v>536</v>
      </c>
      <c r="C326" s="2" t="s">
        <v>536</v>
      </c>
      <c r="D326" s="2" t="s">
        <v>39</v>
      </c>
      <c r="E326" s="2" t="s">
        <v>831</v>
      </c>
      <c r="F326" s="2" t="s">
        <v>832</v>
      </c>
      <c r="G326" s="2" t="s">
        <v>257</v>
      </c>
      <c r="H326" s="2" t="n">
        <v>5.852</v>
      </c>
      <c r="I326" s="2" t="n">
        <v>1950</v>
      </c>
      <c r="J326" s="2" t="n">
        <v>5.841</v>
      </c>
      <c r="K326" s="2" t="n">
        <v>0.152</v>
      </c>
      <c r="L326" s="2" t="n">
        <v>5465</v>
      </c>
      <c r="M326" s="2" t="n">
        <v>25</v>
      </c>
      <c r="N326" s="2" t="n">
        <v>-158.511542</v>
      </c>
      <c r="O326" s="2" t="n">
        <v>28.581281</v>
      </c>
      <c r="P326" s="2" t="s">
        <v>704</v>
      </c>
      <c r="Q326" s="2" t="s">
        <v>71</v>
      </c>
      <c r="R326" s="2" t="s">
        <v>700</v>
      </c>
      <c r="S326" s="2"/>
      <c r="T326" s="2" t="s">
        <v>515</v>
      </c>
      <c r="U326" s="2" t="n">
        <v>5.841</v>
      </c>
      <c r="V326" s="2" t="s">
        <v>71</v>
      </c>
    </row>
    <row r="327" customFormat="false" ht="15" hidden="false" customHeight="false" outlineLevel="0" collapsed="false">
      <c r="A327" s="2" t="s">
        <v>830</v>
      </c>
      <c r="B327" s="2" t="s">
        <v>538</v>
      </c>
      <c r="C327" s="2" t="s">
        <v>538</v>
      </c>
      <c r="D327" s="2" t="s">
        <v>39</v>
      </c>
      <c r="E327" s="2" t="s">
        <v>831</v>
      </c>
      <c r="F327" s="2" t="s">
        <v>832</v>
      </c>
      <c r="G327" s="2" t="s">
        <v>257</v>
      </c>
      <c r="H327" s="2" t="n">
        <v>5.996</v>
      </c>
      <c r="I327" s="2" t="n">
        <v>1950</v>
      </c>
      <c r="J327" s="2" t="n">
        <v>5.998</v>
      </c>
      <c r="K327" s="2" t="n">
        <v>0.172</v>
      </c>
      <c r="L327" s="2" t="n">
        <v>5600</v>
      </c>
      <c r="M327" s="2" t="n">
        <v>30</v>
      </c>
      <c r="N327" s="2" t="n">
        <v>-154.539996</v>
      </c>
      <c r="O327" s="2" t="n">
        <v>27.784545</v>
      </c>
      <c r="P327" s="2" t="s">
        <v>704</v>
      </c>
      <c r="Q327" s="2" t="s">
        <v>71</v>
      </c>
      <c r="R327" s="2" t="s">
        <v>700</v>
      </c>
      <c r="S327" s="2"/>
      <c r="T327" s="2" t="s">
        <v>515</v>
      </c>
      <c r="U327" s="2" t="n">
        <v>5.998</v>
      </c>
      <c r="V327" s="2" t="s">
        <v>71</v>
      </c>
    </row>
    <row r="328" customFormat="false" ht="15" hidden="false" customHeight="false" outlineLevel="0" collapsed="false">
      <c r="A328" s="2" t="s">
        <v>830</v>
      </c>
      <c r="B328" s="2" t="s">
        <v>539</v>
      </c>
      <c r="C328" s="2" t="s">
        <v>539</v>
      </c>
      <c r="D328" s="2" t="s">
        <v>39</v>
      </c>
      <c r="E328" s="2" t="s">
        <v>831</v>
      </c>
      <c r="F328" s="2" t="s">
        <v>832</v>
      </c>
      <c r="G328" s="2" t="s">
        <v>257</v>
      </c>
      <c r="H328" s="2" t="n">
        <v>5.927</v>
      </c>
      <c r="I328" s="2" t="n">
        <v>1950</v>
      </c>
      <c r="J328" s="2" t="n">
        <v>5.924</v>
      </c>
      <c r="K328" s="2" t="n">
        <v>0.166</v>
      </c>
      <c r="L328" s="2" t="n">
        <v>5535</v>
      </c>
      <c r="M328" s="2" t="n">
        <v>25</v>
      </c>
      <c r="N328" s="2" t="n">
        <v>-156.531636</v>
      </c>
      <c r="O328" s="2" t="n">
        <v>28.208612</v>
      </c>
      <c r="P328" s="2" t="s">
        <v>704</v>
      </c>
      <c r="Q328" s="2" t="s">
        <v>71</v>
      </c>
      <c r="R328" s="2" t="s">
        <v>700</v>
      </c>
      <c r="S328" s="2"/>
      <c r="T328" s="2" t="s">
        <v>515</v>
      </c>
      <c r="U328" s="2" t="n">
        <v>5.924</v>
      </c>
      <c r="V328" s="2" t="s">
        <v>71</v>
      </c>
    </row>
    <row r="329" customFormat="false" ht="15" hidden="false" customHeight="false" outlineLevel="0" collapsed="false">
      <c r="A329" s="2" t="s">
        <v>830</v>
      </c>
      <c r="B329" s="2" t="s">
        <v>540</v>
      </c>
      <c r="C329" s="2" t="s">
        <v>540</v>
      </c>
      <c r="D329" s="2" t="s">
        <v>39</v>
      </c>
      <c r="E329" s="2" t="s">
        <v>831</v>
      </c>
      <c r="F329" s="2" t="s">
        <v>832</v>
      </c>
      <c r="G329" s="2" t="s">
        <v>257</v>
      </c>
      <c r="H329" s="2" t="n">
        <v>5.596</v>
      </c>
      <c r="I329" s="2" t="n">
        <v>1950</v>
      </c>
      <c r="J329" s="2" t="n">
        <v>5.581</v>
      </c>
      <c r="K329" s="2" t="n">
        <v>0.1525</v>
      </c>
      <c r="L329" s="2" t="n">
        <v>5220</v>
      </c>
      <c r="M329" s="2" t="n">
        <v>30</v>
      </c>
      <c r="N329" s="2" t="n">
        <v>-162.676978</v>
      </c>
      <c r="O329" s="2" t="n">
        <v>29.398919</v>
      </c>
      <c r="P329" s="2" t="s">
        <v>704</v>
      </c>
      <c r="Q329" s="2" t="s">
        <v>71</v>
      </c>
      <c r="R329" s="2" t="s">
        <v>700</v>
      </c>
      <c r="S329" s="2"/>
      <c r="T329" s="2" t="s">
        <v>515</v>
      </c>
      <c r="U329" s="2" t="n">
        <v>5.581</v>
      </c>
      <c r="V329" s="2" t="s">
        <v>71</v>
      </c>
    </row>
    <row r="330" customFormat="false" ht="15" hidden="false" customHeight="false" outlineLevel="0" collapsed="false">
      <c r="A330" s="2" t="s">
        <v>830</v>
      </c>
      <c r="B330" s="2" t="s">
        <v>542</v>
      </c>
      <c r="C330" s="2" t="s">
        <v>542</v>
      </c>
      <c r="D330" s="2" t="s">
        <v>39</v>
      </c>
      <c r="E330" s="2" t="s">
        <v>831</v>
      </c>
      <c r="F330" s="2" t="s">
        <v>832</v>
      </c>
      <c r="G330" s="2" t="s">
        <v>257</v>
      </c>
      <c r="H330" s="2" t="n">
        <v>0.174</v>
      </c>
      <c r="I330" s="2" t="n">
        <v>1950</v>
      </c>
      <c r="J330" s="2" t="n">
        <v>0.146</v>
      </c>
      <c r="K330" s="2" t="n">
        <v>0.1345</v>
      </c>
      <c r="L330" s="2" t="n">
        <v>480</v>
      </c>
      <c r="M330" s="2" t="n">
        <v>25</v>
      </c>
      <c r="N330" s="2" t="n">
        <v>-209.624419</v>
      </c>
      <c r="O330" s="2" t="n">
        <v>30.574843</v>
      </c>
      <c r="P330" s="2" t="s">
        <v>704</v>
      </c>
      <c r="Q330" s="2" t="s">
        <v>71</v>
      </c>
      <c r="R330" s="2" t="s">
        <v>700</v>
      </c>
      <c r="S330" s="2"/>
      <c r="T330" s="2" t="s">
        <v>515</v>
      </c>
      <c r="U330" s="2" t="n">
        <v>0.146</v>
      </c>
      <c r="V330" s="2" t="s">
        <v>71</v>
      </c>
    </row>
    <row r="331" customFormat="false" ht="15" hidden="false" customHeight="false" outlineLevel="0" collapsed="false">
      <c r="A331" s="2" t="s">
        <v>830</v>
      </c>
      <c r="B331" s="2" t="s">
        <v>544</v>
      </c>
      <c r="C331" s="2" t="s">
        <v>544</v>
      </c>
      <c r="D331" s="2" t="s">
        <v>39</v>
      </c>
      <c r="E331" s="2" t="s">
        <v>831</v>
      </c>
      <c r="F331" s="2" t="s">
        <v>832</v>
      </c>
      <c r="G331" s="2" t="s">
        <v>257</v>
      </c>
      <c r="H331" s="2" t="n">
        <v>1.117</v>
      </c>
      <c r="I331" s="2" t="n">
        <v>1950</v>
      </c>
      <c r="J331" s="2" t="n">
        <v>1.102</v>
      </c>
      <c r="K331" s="2" t="n">
        <v>0.142</v>
      </c>
      <c r="L331" s="2" t="n">
        <v>1520</v>
      </c>
      <c r="M331" s="2" t="n">
        <v>30</v>
      </c>
      <c r="N331" s="2" t="n">
        <v>-187.094952</v>
      </c>
      <c r="O331" s="2" t="n">
        <v>25.892467</v>
      </c>
      <c r="P331" s="2" t="s">
        <v>704</v>
      </c>
      <c r="Q331" s="2" t="s">
        <v>71</v>
      </c>
      <c r="R331" s="2" t="s">
        <v>700</v>
      </c>
      <c r="S331" s="2"/>
      <c r="T331" s="2" t="s">
        <v>515</v>
      </c>
      <c r="U331" s="2" t="n">
        <v>1.102</v>
      </c>
      <c r="V331" s="2" t="s">
        <v>71</v>
      </c>
    </row>
    <row r="332" customFormat="false" ht="15" hidden="false" customHeight="false" outlineLevel="0" collapsed="false">
      <c r="A332" s="2" t="s">
        <v>830</v>
      </c>
      <c r="B332" s="2" t="s">
        <v>545</v>
      </c>
      <c r="C332" s="2" t="s">
        <v>545</v>
      </c>
      <c r="D332" s="2" t="s">
        <v>39</v>
      </c>
      <c r="E332" s="2" t="s">
        <v>831</v>
      </c>
      <c r="F332" s="2" t="s">
        <v>832</v>
      </c>
      <c r="G332" s="2" t="s">
        <v>257</v>
      </c>
      <c r="H332" s="2" t="n">
        <v>2.967</v>
      </c>
      <c r="I332" s="2" t="n">
        <v>1950</v>
      </c>
      <c r="J332" s="2" t="n">
        <v>2.978</v>
      </c>
      <c r="K332" s="2" t="n">
        <v>0.1585</v>
      </c>
      <c r="L332" s="2" t="n">
        <v>3165</v>
      </c>
      <c r="M332" s="2" t="n">
        <v>25</v>
      </c>
      <c r="N332" s="2" t="n">
        <v>-159.388289</v>
      </c>
      <c r="O332" s="2" t="n">
        <v>30.493926</v>
      </c>
      <c r="P332" s="2" t="s">
        <v>704</v>
      </c>
      <c r="Q332" s="2" t="s">
        <v>71</v>
      </c>
      <c r="R332" s="2" t="s">
        <v>700</v>
      </c>
      <c r="S332" s="2"/>
      <c r="T332" s="2" t="s">
        <v>515</v>
      </c>
      <c r="U332" s="2" t="n">
        <v>2.978</v>
      </c>
      <c r="V332" s="2" t="s">
        <v>71</v>
      </c>
    </row>
    <row r="333" customFormat="false" ht="15" hidden="false" customHeight="false" outlineLevel="0" collapsed="false">
      <c r="A333" s="2" t="s">
        <v>830</v>
      </c>
      <c r="B333" s="2" t="s">
        <v>547</v>
      </c>
      <c r="C333" s="2" t="s">
        <v>547</v>
      </c>
      <c r="D333" s="2" t="s">
        <v>39</v>
      </c>
      <c r="E333" s="2" t="s">
        <v>831</v>
      </c>
      <c r="F333" s="2" t="s">
        <v>832</v>
      </c>
      <c r="G333" s="2" t="s">
        <v>257</v>
      </c>
      <c r="H333" s="2" t="n">
        <v>2.182</v>
      </c>
      <c r="I333" s="2" t="n">
        <v>1950</v>
      </c>
      <c r="J333" s="2" t="n">
        <v>2.192</v>
      </c>
      <c r="K333" s="2" t="n">
        <v>0.142</v>
      </c>
      <c r="L333" s="2" t="n">
        <v>2465</v>
      </c>
      <c r="M333" s="2" t="n">
        <v>20</v>
      </c>
      <c r="N333" s="2" t="n">
        <v>-193.438677</v>
      </c>
      <c r="O333" s="2" t="n">
        <v>29.06866</v>
      </c>
      <c r="P333" s="2" t="s">
        <v>704</v>
      </c>
      <c r="Q333" s="2" t="s">
        <v>71</v>
      </c>
      <c r="R333" s="2" t="s">
        <v>700</v>
      </c>
      <c r="S333" s="2"/>
      <c r="T333" s="2" t="s">
        <v>515</v>
      </c>
      <c r="U333" s="2" t="n">
        <v>2.192</v>
      </c>
      <c r="V333" s="2" t="s">
        <v>71</v>
      </c>
    </row>
    <row r="334" customFormat="false" ht="15" hidden="false" customHeight="false" outlineLevel="0" collapsed="false">
      <c r="A334" s="2" t="s">
        <v>830</v>
      </c>
      <c r="B334" s="2" t="s">
        <v>549</v>
      </c>
      <c r="C334" s="2" t="s">
        <v>549</v>
      </c>
      <c r="D334" s="2" t="s">
        <v>39</v>
      </c>
      <c r="E334" s="2" t="s">
        <v>831</v>
      </c>
      <c r="F334" s="2" t="s">
        <v>832</v>
      </c>
      <c r="G334" s="2" t="s">
        <v>257</v>
      </c>
      <c r="H334" s="2" t="n">
        <v>5.526</v>
      </c>
      <c r="I334" s="2" t="n">
        <v>1950</v>
      </c>
      <c r="J334" s="2" t="n">
        <v>5.505</v>
      </c>
      <c r="K334" s="2" t="n">
        <v>0.145</v>
      </c>
      <c r="L334" s="2" t="n">
        <v>5150</v>
      </c>
      <c r="M334" s="2" t="n">
        <v>25</v>
      </c>
      <c r="N334" s="2" t="n">
        <v>-163.06584</v>
      </c>
      <c r="O334" s="2" t="n">
        <v>29.512677</v>
      </c>
      <c r="P334" s="2" t="s">
        <v>704</v>
      </c>
      <c r="Q334" s="2" t="s">
        <v>71</v>
      </c>
      <c r="R334" s="2" t="s">
        <v>700</v>
      </c>
      <c r="S334" s="2"/>
      <c r="T334" s="2" t="s">
        <v>515</v>
      </c>
      <c r="U334" s="2" t="n">
        <v>5.505</v>
      </c>
      <c r="V334" s="2" t="s">
        <v>71</v>
      </c>
    </row>
    <row r="335" customFormat="false" ht="15" hidden="false" customHeight="false" outlineLevel="0" collapsed="false">
      <c r="A335" s="2" t="s">
        <v>830</v>
      </c>
      <c r="B335" s="2" t="s">
        <v>550</v>
      </c>
      <c r="C335" s="2" t="s">
        <v>550</v>
      </c>
      <c r="D335" s="2" t="s">
        <v>39</v>
      </c>
      <c r="E335" s="2" t="s">
        <v>833</v>
      </c>
      <c r="F335" s="2" t="s">
        <v>832</v>
      </c>
      <c r="G335" s="2" t="s">
        <v>257</v>
      </c>
      <c r="H335" s="2" t="n">
        <v>5.804</v>
      </c>
      <c r="I335" s="2" t="n">
        <v>1950</v>
      </c>
      <c r="J335" s="2" t="n">
        <v>5.804</v>
      </c>
      <c r="K335" s="2"/>
      <c r="L335" s="2"/>
      <c r="M335" s="2"/>
      <c r="N335" s="2"/>
      <c r="O335" s="2"/>
      <c r="P335" s="2" t="s">
        <v>704</v>
      </c>
      <c r="Q335" s="2" t="s">
        <v>43</v>
      </c>
      <c r="R335" s="2" t="s">
        <v>700</v>
      </c>
      <c r="S335" s="2"/>
      <c r="T335" s="2" t="s">
        <v>515</v>
      </c>
      <c r="U335" s="2" t="n">
        <v>5.804</v>
      </c>
      <c r="V335" s="2" t="s">
        <v>43</v>
      </c>
    </row>
    <row r="336" customFormat="false" ht="15" hidden="false" customHeight="false" outlineLevel="0" collapsed="false">
      <c r="A336" s="2" t="s">
        <v>830</v>
      </c>
      <c r="B336" s="2" t="s">
        <v>553</v>
      </c>
      <c r="C336" s="2" t="s">
        <v>553</v>
      </c>
      <c r="D336" s="2" t="s">
        <v>39</v>
      </c>
      <c r="E336" s="2" t="s">
        <v>833</v>
      </c>
      <c r="F336" s="2" t="s">
        <v>832</v>
      </c>
      <c r="G336" s="2" t="s">
        <v>257</v>
      </c>
      <c r="H336" s="2" t="n">
        <v>5.869</v>
      </c>
      <c r="I336" s="2" t="n">
        <v>1950</v>
      </c>
      <c r="J336" s="2" t="n">
        <v>5.869</v>
      </c>
      <c r="K336" s="2"/>
      <c r="L336" s="2"/>
      <c r="M336" s="2"/>
      <c r="N336" s="2"/>
      <c r="O336" s="2"/>
      <c r="P336" s="2" t="s">
        <v>704</v>
      </c>
      <c r="Q336" s="2" t="s">
        <v>43</v>
      </c>
      <c r="R336" s="2" t="s">
        <v>700</v>
      </c>
      <c r="S336" s="2"/>
      <c r="T336" s="2" t="s">
        <v>515</v>
      </c>
      <c r="U336" s="2" t="n">
        <v>5.869</v>
      </c>
      <c r="V336" s="2" t="s">
        <v>43</v>
      </c>
    </row>
    <row r="337" customFormat="false" ht="15" hidden="false" customHeight="false" outlineLevel="0" collapsed="false">
      <c r="A337" s="2" t="s">
        <v>830</v>
      </c>
      <c r="B337" s="2" t="s">
        <v>554</v>
      </c>
      <c r="C337" s="2" t="s">
        <v>554</v>
      </c>
      <c r="D337" s="2" t="s">
        <v>39</v>
      </c>
      <c r="E337" s="2" t="s">
        <v>833</v>
      </c>
      <c r="F337" s="2" t="s">
        <v>832</v>
      </c>
      <c r="G337" s="2" t="s">
        <v>257</v>
      </c>
      <c r="H337" s="2" t="n">
        <v>5.976</v>
      </c>
      <c r="I337" s="2" t="n">
        <v>1950</v>
      </c>
      <c r="J337" s="2" t="n">
        <v>5.976</v>
      </c>
      <c r="K337" s="2"/>
      <c r="L337" s="2"/>
      <c r="M337" s="2"/>
      <c r="N337" s="2"/>
      <c r="O337" s="2"/>
      <c r="P337" s="2" t="s">
        <v>704</v>
      </c>
      <c r="Q337" s="2" t="s">
        <v>43</v>
      </c>
      <c r="R337" s="2" t="s">
        <v>700</v>
      </c>
      <c r="S337" s="2"/>
      <c r="T337" s="2" t="s">
        <v>515</v>
      </c>
      <c r="U337" s="2" t="n">
        <v>5.976</v>
      </c>
      <c r="V337" s="2" t="s">
        <v>43</v>
      </c>
    </row>
    <row r="338" customFormat="false" ht="15" hidden="false" customHeight="false" outlineLevel="0" collapsed="false">
      <c r="A338" s="2" t="s">
        <v>830</v>
      </c>
      <c r="B338" s="2" t="s">
        <v>555</v>
      </c>
      <c r="C338" s="2" t="s">
        <v>555</v>
      </c>
      <c r="D338" s="2" t="s">
        <v>39</v>
      </c>
      <c r="E338" s="2" t="s">
        <v>833</v>
      </c>
      <c r="F338" s="2" t="s">
        <v>832</v>
      </c>
      <c r="G338" s="2" t="s">
        <v>257</v>
      </c>
      <c r="H338" s="2" t="n">
        <v>5.526</v>
      </c>
      <c r="I338" s="2" t="n">
        <v>1950</v>
      </c>
      <c r="J338" s="2" t="n">
        <v>5.526</v>
      </c>
      <c r="K338" s="2"/>
      <c r="L338" s="2"/>
      <c r="M338" s="2"/>
      <c r="N338" s="2"/>
      <c r="O338" s="2"/>
      <c r="P338" s="2" t="s">
        <v>704</v>
      </c>
      <c r="Q338" s="2" t="s">
        <v>43</v>
      </c>
      <c r="R338" s="2" t="s">
        <v>700</v>
      </c>
      <c r="S338" s="2"/>
      <c r="T338" s="2" t="s">
        <v>515</v>
      </c>
      <c r="U338" s="2" t="n">
        <v>5.526</v>
      </c>
      <c r="V338" s="2" t="s">
        <v>43</v>
      </c>
    </row>
    <row r="339" customFormat="false" ht="15" hidden="false" customHeight="false" outlineLevel="0" collapsed="false">
      <c r="A339" s="2" t="s">
        <v>830</v>
      </c>
      <c r="B339" s="2" t="s">
        <v>557</v>
      </c>
      <c r="C339" s="2" t="s">
        <v>557</v>
      </c>
      <c r="D339" s="2" t="s">
        <v>39</v>
      </c>
      <c r="E339" s="2" t="s">
        <v>833</v>
      </c>
      <c r="F339" s="2" t="s">
        <v>832</v>
      </c>
      <c r="G339" s="2" t="s">
        <v>257</v>
      </c>
      <c r="H339" s="2" t="n">
        <v>2.967</v>
      </c>
      <c r="I339" s="2" t="n">
        <v>1950</v>
      </c>
      <c r="J339" s="2" t="n">
        <v>2.967</v>
      </c>
      <c r="K339" s="2"/>
      <c r="L339" s="2"/>
      <c r="M339" s="2"/>
      <c r="N339" s="2"/>
      <c r="O339" s="2"/>
      <c r="P339" s="2" t="s">
        <v>704</v>
      </c>
      <c r="Q339" s="2" t="s">
        <v>43</v>
      </c>
      <c r="R339" s="2" t="s">
        <v>700</v>
      </c>
      <c r="S339" s="2"/>
      <c r="T339" s="2" t="s">
        <v>515</v>
      </c>
      <c r="U339" s="2" t="n">
        <v>2.967</v>
      </c>
      <c r="V339" s="2" t="s">
        <v>43</v>
      </c>
    </row>
    <row r="340" customFormat="false" ht="15" hidden="false" customHeight="false" outlineLevel="0" collapsed="false">
      <c r="A340" s="2" t="s">
        <v>830</v>
      </c>
      <c r="B340" s="2" t="s">
        <v>559</v>
      </c>
      <c r="C340" s="2" t="s">
        <v>559</v>
      </c>
      <c r="D340" s="2" t="s">
        <v>39</v>
      </c>
      <c r="E340" s="2" t="s">
        <v>833</v>
      </c>
      <c r="F340" s="2" t="s">
        <v>832</v>
      </c>
      <c r="G340" s="2" t="s">
        <v>257</v>
      </c>
      <c r="H340" s="2" t="n">
        <v>1.935</v>
      </c>
      <c r="I340" s="2" t="n">
        <v>1950</v>
      </c>
      <c r="J340" s="2" t="n">
        <v>1.943</v>
      </c>
      <c r="K340" s="2" t="n">
        <v>0.1635</v>
      </c>
      <c r="L340" s="2" t="n">
        <v>2275</v>
      </c>
      <c r="M340" s="2" t="n">
        <v>35</v>
      </c>
      <c r="N340" s="2" t="n">
        <v>-195.1</v>
      </c>
      <c r="O340" s="2"/>
      <c r="P340" s="2" t="s">
        <v>704</v>
      </c>
      <c r="Q340" s="2" t="s">
        <v>71</v>
      </c>
      <c r="R340" s="2" t="s">
        <v>700</v>
      </c>
      <c r="S340" s="2"/>
      <c r="T340" s="2" t="s">
        <v>515</v>
      </c>
      <c r="U340" s="2" t="n">
        <v>1.935</v>
      </c>
      <c r="V340" s="2" t="s">
        <v>71</v>
      </c>
    </row>
    <row r="341" customFormat="false" ht="15" hidden="false" customHeight="false" outlineLevel="0" collapsed="false">
      <c r="A341" s="2" t="s">
        <v>830</v>
      </c>
      <c r="B341" s="2" t="s">
        <v>561</v>
      </c>
      <c r="C341" s="2" t="s">
        <v>561</v>
      </c>
      <c r="D341" s="2" t="s">
        <v>39</v>
      </c>
      <c r="E341" s="2" t="s">
        <v>833</v>
      </c>
      <c r="F341" s="2" t="s">
        <v>832</v>
      </c>
      <c r="G341" s="2" t="s">
        <v>257</v>
      </c>
      <c r="H341" s="2" t="n">
        <v>0</v>
      </c>
      <c r="I341" s="2" t="n">
        <v>1950</v>
      </c>
      <c r="J341" s="2" t="n">
        <v>0.069</v>
      </c>
      <c r="K341" s="2" t="n">
        <v>0.114</v>
      </c>
      <c r="L341" s="2" t="n">
        <v>380</v>
      </c>
      <c r="M341" s="2" t="n">
        <v>35</v>
      </c>
      <c r="N341" s="2" t="n">
        <v>-208.192841</v>
      </c>
      <c r="O341" s="2"/>
      <c r="P341" s="2" t="s">
        <v>704</v>
      </c>
      <c r="Q341" s="2" t="s">
        <v>71</v>
      </c>
      <c r="R341" s="2" t="s">
        <v>700</v>
      </c>
      <c r="S341" s="2"/>
      <c r="T341" s="2" t="s">
        <v>515</v>
      </c>
      <c r="U341" s="2" t="n">
        <v>0</v>
      </c>
      <c r="V341" s="2" t="s">
        <v>71</v>
      </c>
    </row>
    <row r="342" customFormat="false" ht="15" hidden="false" customHeight="false" outlineLevel="0" collapsed="false">
      <c r="A342" s="2" t="s">
        <v>830</v>
      </c>
      <c r="B342" s="2" t="s">
        <v>563</v>
      </c>
      <c r="C342" s="2" t="s">
        <v>563</v>
      </c>
      <c r="D342" s="2" t="s">
        <v>39</v>
      </c>
      <c r="E342" s="2" t="s">
        <v>833</v>
      </c>
      <c r="F342" s="2" t="s">
        <v>832</v>
      </c>
      <c r="G342" s="2" t="s">
        <v>257</v>
      </c>
      <c r="H342" s="2" t="n">
        <v>5.927</v>
      </c>
      <c r="I342" s="2" t="n">
        <v>1950</v>
      </c>
      <c r="J342" s="2" t="n">
        <v>5.927</v>
      </c>
      <c r="K342" s="2"/>
      <c r="L342" s="2"/>
      <c r="M342" s="2"/>
      <c r="N342" s="2"/>
      <c r="O342" s="2"/>
      <c r="P342" s="2" t="s">
        <v>704</v>
      </c>
      <c r="Q342" s="2" t="s">
        <v>43</v>
      </c>
      <c r="R342" s="2" t="s">
        <v>700</v>
      </c>
      <c r="S342" s="2"/>
      <c r="T342" s="2" t="s">
        <v>515</v>
      </c>
      <c r="U342" s="2" t="n">
        <v>5.927</v>
      </c>
      <c r="V342" s="2" t="s">
        <v>43</v>
      </c>
    </row>
    <row r="343" customFormat="false" ht="15" hidden="false" customHeight="false" outlineLevel="0" collapsed="false">
      <c r="A343" s="2" t="s">
        <v>830</v>
      </c>
      <c r="B343" s="2" t="s">
        <v>565</v>
      </c>
      <c r="C343" s="2" t="s">
        <v>565</v>
      </c>
      <c r="D343" s="2" t="s">
        <v>39</v>
      </c>
      <c r="E343" s="2" t="s">
        <v>833</v>
      </c>
      <c r="F343" s="2" t="s">
        <v>832</v>
      </c>
      <c r="G343" s="2" t="s">
        <v>257</v>
      </c>
      <c r="H343" s="2" t="n">
        <v>0.999</v>
      </c>
      <c r="I343" s="2" t="n">
        <v>1950</v>
      </c>
      <c r="J343" s="2" t="n">
        <v>0.999</v>
      </c>
      <c r="K343" s="2"/>
      <c r="L343" s="2"/>
      <c r="M343" s="2"/>
      <c r="N343" s="2"/>
      <c r="O343" s="2"/>
      <c r="P343" s="2" t="s">
        <v>704</v>
      </c>
      <c r="Q343" s="2" t="s">
        <v>43</v>
      </c>
      <c r="R343" s="2" t="s">
        <v>700</v>
      </c>
      <c r="S343" s="2"/>
      <c r="T343" s="2" t="s">
        <v>515</v>
      </c>
      <c r="U343" s="2" t="n">
        <v>0.999</v>
      </c>
      <c r="V343" s="2" t="s">
        <v>43</v>
      </c>
    </row>
    <row r="344" customFormat="false" ht="15" hidden="false" customHeight="false" outlineLevel="0" collapsed="false">
      <c r="A344" s="2" t="s">
        <v>830</v>
      </c>
      <c r="B344" s="2" t="s">
        <v>567</v>
      </c>
      <c r="C344" s="2" t="s">
        <v>567</v>
      </c>
      <c r="D344" s="2" t="s">
        <v>39</v>
      </c>
      <c r="E344" s="2" t="s">
        <v>833</v>
      </c>
      <c r="F344" s="2" t="s">
        <v>832</v>
      </c>
      <c r="G344" s="2" t="s">
        <v>257</v>
      </c>
      <c r="H344" s="2" t="n">
        <v>0.851</v>
      </c>
      <c r="I344" s="2" t="n">
        <v>1950</v>
      </c>
      <c r="J344" s="2" t="n">
        <v>0.851</v>
      </c>
      <c r="K344" s="2"/>
      <c r="L344" s="2"/>
      <c r="M344" s="2"/>
      <c r="N344" s="2"/>
      <c r="O344" s="2"/>
      <c r="P344" s="2" t="s">
        <v>704</v>
      </c>
      <c r="Q344" s="2" t="s">
        <v>43</v>
      </c>
      <c r="R344" s="2" t="s">
        <v>700</v>
      </c>
      <c r="S344" s="2"/>
      <c r="T344" s="2" t="s">
        <v>515</v>
      </c>
      <c r="U344" s="2" t="n">
        <v>0.851</v>
      </c>
      <c r="V344" s="2" t="s">
        <v>43</v>
      </c>
    </row>
    <row r="345" customFormat="false" ht="15" hidden="false" customHeight="false" outlineLevel="0" collapsed="false">
      <c r="A345" s="2" t="s">
        <v>830</v>
      </c>
      <c r="B345" s="2" t="s">
        <v>568</v>
      </c>
      <c r="C345" s="2" t="s">
        <v>568</v>
      </c>
      <c r="D345" s="2" t="s">
        <v>39</v>
      </c>
      <c r="E345" s="2" t="s">
        <v>833</v>
      </c>
      <c r="F345" s="2" t="s">
        <v>832</v>
      </c>
      <c r="G345" s="2" t="s">
        <v>257</v>
      </c>
      <c r="H345" s="2" t="n">
        <v>4.555</v>
      </c>
      <c r="I345" s="2" t="n">
        <v>1950</v>
      </c>
      <c r="J345" s="2" t="n">
        <v>4.555</v>
      </c>
      <c r="K345" s="2"/>
      <c r="L345" s="2"/>
      <c r="M345" s="2"/>
      <c r="N345" s="2"/>
      <c r="O345" s="2"/>
      <c r="P345" s="2" t="s">
        <v>704</v>
      </c>
      <c r="Q345" s="2" t="s">
        <v>43</v>
      </c>
      <c r="R345" s="2" t="s">
        <v>700</v>
      </c>
      <c r="S345" s="2"/>
      <c r="T345" s="2" t="s">
        <v>515</v>
      </c>
      <c r="U345" s="2" t="n">
        <v>4.555</v>
      </c>
      <c r="V345" s="2" t="s">
        <v>43</v>
      </c>
    </row>
    <row r="346" customFormat="false" ht="15" hidden="false" customHeight="false" outlineLevel="0" collapsed="false">
      <c r="A346" s="2" t="s">
        <v>830</v>
      </c>
      <c r="B346" s="2" t="s">
        <v>569</v>
      </c>
      <c r="C346" s="2" t="s">
        <v>569</v>
      </c>
      <c r="D346" s="2" t="s">
        <v>39</v>
      </c>
      <c r="E346" s="2" t="s">
        <v>833</v>
      </c>
      <c r="F346" s="2" t="s">
        <v>832</v>
      </c>
      <c r="G346" s="2" t="s">
        <v>257</v>
      </c>
      <c r="H346" s="2" t="n">
        <v>5.34</v>
      </c>
      <c r="I346" s="2" t="n">
        <v>1950</v>
      </c>
      <c r="J346" s="2" t="n">
        <v>5.306</v>
      </c>
      <c r="K346" s="2" t="n">
        <v>0.322</v>
      </c>
      <c r="L346" s="2" t="n">
        <v>4990</v>
      </c>
      <c r="M346" s="2" t="n">
        <v>125</v>
      </c>
      <c r="N346" s="2" t="n">
        <v>-163.845936</v>
      </c>
      <c r="O346" s="2"/>
      <c r="P346" s="2" t="s">
        <v>704</v>
      </c>
      <c r="Q346" s="2" t="s">
        <v>71</v>
      </c>
      <c r="R346" s="2" t="s">
        <v>700</v>
      </c>
      <c r="S346" s="2"/>
      <c r="T346" s="2" t="s">
        <v>515</v>
      </c>
      <c r="U346" s="2" t="n">
        <v>5.34</v>
      </c>
      <c r="V346" s="2" t="s">
        <v>71</v>
      </c>
    </row>
    <row r="347" customFormat="false" ht="15" hidden="false" customHeight="false" outlineLevel="0" collapsed="false">
      <c r="A347" s="2" t="s">
        <v>830</v>
      </c>
      <c r="B347" s="2" t="s">
        <v>570</v>
      </c>
      <c r="C347" s="2" t="s">
        <v>570</v>
      </c>
      <c r="D347" s="2" t="s">
        <v>39</v>
      </c>
      <c r="E347" s="2" t="s">
        <v>833</v>
      </c>
      <c r="F347" s="2" t="s">
        <v>832</v>
      </c>
      <c r="G347" s="2" t="s">
        <v>257</v>
      </c>
      <c r="H347" s="2" t="n">
        <v>1.107</v>
      </c>
      <c r="I347" s="2" t="n">
        <v>1950</v>
      </c>
      <c r="J347" s="2" t="n">
        <v>1.107</v>
      </c>
      <c r="K347" s="2"/>
      <c r="L347" s="2"/>
      <c r="M347" s="2"/>
      <c r="N347" s="2"/>
      <c r="O347" s="2"/>
      <c r="P347" s="2" t="s">
        <v>704</v>
      </c>
      <c r="Q347" s="2" t="s">
        <v>43</v>
      </c>
      <c r="R347" s="2" t="s">
        <v>700</v>
      </c>
      <c r="S347" s="2"/>
      <c r="T347" s="2" t="s">
        <v>515</v>
      </c>
      <c r="U347" s="2" t="n">
        <v>1.107</v>
      </c>
      <c r="V347" s="2" t="s">
        <v>43</v>
      </c>
    </row>
    <row r="348" customFormat="false" ht="15" hidden="false" customHeight="false" outlineLevel="0" collapsed="false">
      <c r="A348" s="2" t="s">
        <v>830</v>
      </c>
      <c r="B348" s="2" t="s">
        <v>571</v>
      </c>
      <c r="C348" s="2" t="s">
        <v>571</v>
      </c>
      <c r="D348" s="2" t="s">
        <v>39</v>
      </c>
      <c r="E348" s="2" t="s">
        <v>833</v>
      </c>
      <c r="F348" s="2" t="s">
        <v>832</v>
      </c>
      <c r="G348" s="2" t="s">
        <v>257</v>
      </c>
      <c r="H348" s="2" t="n">
        <v>5.473</v>
      </c>
      <c r="I348" s="2" t="n">
        <v>1950</v>
      </c>
      <c r="J348" s="2" t="n">
        <v>5.473</v>
      </c>
      <c r="K348" s="2"/>
      <c r="L348" s="2"/>
      <c r="M348" s="2"/>
      <c r="N348" s="2"/>
      <c r="O348" s="2"/>
      <c r="P348" s="2" t="s">
        <v>704</v>
      </c>
      <c r="Q348" s="2" t="s">
        <v>43</v>
      </c>
      <c r="R348" s="2" t="s">
        <v>700</v>
      </c>
      <c r="S348" s="2"/>
      <c r="T348" s="2" t="s">
        <v>515</v>
      </c>
      <c r="U348" s="2" t="n">
        <v>5.473</v>
      </c>
      <c r="V348" s="2" t="s">
        <v>43</v>
      </c>
    </row>
    <row r="349" customFormat="false" ht="15" hidden="false" customHeight="false" outlineLevel="0" collapsed="false">
      <c r="A349" s="2" t="s">
        <v>830</v>
      </c>
      <c r="B349" s="2" t="s">
        <v>572</v>
      </c>
      <c r="C349" s="2" t="s">
        <v>572</v>
      </c>
      <c r="D349" s="2" t="s">
        <v>39</v>
      </c>
      <c r="E349" s="2" t="s">
        <v>834</v>
      </c>
      <c r="F349" s="2" t="s">
        <v>832</v>
      </c>
      <c r="G349" s="2" t="s">
        <v>393</v>
      </c>
      <c r="H349" s="2" t="n">
        <v>5.828</v>
      </c>
      <c r="I349" s="2" t="n">
        <v>1950</v>
      </c>
      <c r="J349" s="2" t="n">
        <v>5.828</v>
      </c>
      <c r="K349" s="2" t="n">
        <v>0.025</v>
      </c>
      <c r="L349" s="2"/>
      <c r="M349" s="2"/>
      <c r="N349" s="2"/>
      <c r="O349" s="2"/>
      <c r="P349" s="2"/>
      <c r="Q349" s="2" t="s">
        <v>71</v>
      </c>
      <c r="R349" s="2" t="s">
        <v>700</v>
      </c>
      <c r="S349" s="2"/>
      <c r="T349" s="2" t="s">
        <v>515</v>
      </c>
      <c r="U349" s="2" t="n">
        <v>5.828</v>
      </c>
      <c r="V349" s="2" t="s">
        <v>71</v>
      </c>
    </row>
    <row r="350" customFormat="false" ht="15" hidden="false" customHeight="false" outlineLevel="0" collapsed="false">
      <c r="A350" s="2" t="s">
        <v>830</v>
      </c>
      <c r="B350" s="2" t="s">
        <v>574</v>
      </c>
      <c r="C350" s="2" t="s">
        <v>574</v>
      </c>
      <c r="D350" s="2" t="s">
        <v>39</v>
      </c>
      <c r="E350" s="2" t="s">
        <v>834</v>
      </c>
      <c r="F350" s="2" t="s">
        <v>832</v>
      </c>
      <c r="G350" s="2" t="s">
        <v>257</v>
      </c>
      <c r="H350" s="2" t="n">
        <v>5.804</v>
      </c>
      <c r="I350" s="2" t="n">
        <v>1950</v>
      </c>
      <c r="J350" s="2" t="n">
        <v>5.796</v>
      </c>
      <c r="K350" s="2" t="n">
        <v>0.15</v>
      </c>
      <c r="L350" s="2" t="n">
        <v>5420</v>
      </c>
      <c r="M350" s="2" t="n">
        <v>30</v>
      </c>
      <c r="N350" s="2" t="n">
        <v>-159.65</v>
      </c>
      <c r="O350" s="2" t="n">
        <v>28.77</v>
      </c>
      <c r="P350" s="2" t="s">
        <v>704</v>
      </c>
      <c r="Q350" s="2" t="s">
        <v>71</v>
      </c>
      <c r="R350" s="2" t="s">
        <v>700</v>
      </c>
      <c r="S350" s="2"/>
      <c r="T350" s="2" t="s">
        <v>515</v>
      </c>
      <c r="U350" s="2" t="n">
        <v>5.796</v>
      </c>
      <c r="V350" s="2" t="s">
        <v>71</v>
      </c>
    </row>
    <row r="351" customFormat="false" ht="15" hidden="false" customHeight="false" outlineLevel="0" collapsed="false">
      <c r="A351" s="2" t="s">
        <v>830</v>
      </c>
      <c r="B351" s="2" t="s">
        <v>575</v>
      </c>
      <c r="C351" s="2" t="s">
        <v>575</v>
      </c>
      <c r="D351" s="2" t="s">
        <v>39</v>
      </c>
      <c r="E351" s="2" t="s">
        <v>834</v>
      </c>
      <c r="F351" s="2" t="s">
        <v>832</v>
      </c>
      <c r="G351" s="2" t="s">
        <v>257</v>
      </c>
      <c r="H351" s="2" t="n">
        <v>5.869</v>
      </c>
      <c r="I351" s="2" t="n">
        <v>1950</v>
      </c>
      <c r="J351" s="2" t="n">
        <v>5.858</v>
      </c>
      <c r="K351" s="2" t="n">
        <v>0.1565</v>
      </c>
      <c r="L351" s="2" t="n">
        <v>5480</v>
      </c>
      <c r="M351" s="2" t="n">
        <v>30</v>
      </c>
      <c r="N351" s="2" t="n">
        <v>-158.11</v>
      </c>
      <c r="O351" s="2" t="n">
        <v>28.51</v>
      </c>
      <c r="P351" s="2" t="s">
        <v>704</v>
      </c>
      <c r="Q351" s="2" t="s">
        <v>71</v>
      </c>
      <c r="R351" s="2" t="s">
        <v>700</v>
      </c>
      <c r="S351" s="2"/>
      <c r="T351" s="2" t="s">
        <v>515</v>
      </c>
      <c r="U351" s="2" t="n">
        <v>5.858</v>
      </c>
      <c r="V351" s="2" t="s">
        <v>71</v>
      </c>
    </row>
    <row r="352" customFormat="false" ht="15" hidden="false" customHeight="false" outlineLevel="0" collapsed="false">
      <c r="A352" s="2" t="s">
        <v>830</v>
      </c>
      <c r="B352" s="2" t="s">
        <v>576</v>
      </c>
      <c r="C352" s="2" t="s">
        <v>576</v>
      </c>
      <c r="D352" s="2" t="s">
        <v>39</v>
      </c>
      <c r="E352" s="2" t="s">
        <v>834</v>
      </c>
      <c r="F352" s="2" t="s">
        <v>832</v>
      </c>
      <c r="G352" s="2" t="s">
        <v>257</v>
      </c>
      <c r="H352" s="2" t="n">
        <v>5.976</v>
      </c>
      <c r="I352" s="2" t="n">
        <v>1950</v>
      </c>
      <c r="J352" s="2" t="n">
        <v>5.976</v>
      </c>
      <c r="K352" s="2" t="n">
        <v>0.1835</v>
      </c>
      <c r="L352" s="2" t="n">
        <v>5580</v>
      </c>
      <c r="M352" s="2" t="n">
        <v>40</v>
      </c>
      <c r="N352" s="2" t="n">
        <v>-155.16</v>
      </c>
      <c r="O352" s="2" t="n">
        <v>27.92</v>
      </c>
      <c r="P352" s="2" t="s">
        <v>704</v>
      </c>
      <c r="Q352" s="2" t="s">
        <v>71</v>
      </c>
      <c r="R352" s="2" t="s">
        <v>700</v>
      </c>
      <c r="S352" s="2"/>
      <c r="T352" s="2" t="s">
        <v>515</v>
      </c>
      <c r="U352" s="2" t="n">
        <v>5.976</v>
      </c>
      <c r="V352" s="2" t="s">
        <v>71</v>
      </c>
    </row>
    <row r="353" customFormat="false" ht="15" hidden="false" customHeight="false" outlineLevel="0" collapsed="false">
      <c r="A353" s="2" t="s">
        <v>830</v>
      </c>
      <c r="B353" s="2" t="s">
        <v>577</v>
      </c>
      <c r="C353" s="2" t="s">
        <v>577</v>
      </c>
      <c r="D353" s="2" t="s">
        <v>39</v>
      </c>
      <c r="E353" s="2" t="s">
        <v>834</v>
      </c>
      <c r="F353" s="2" t="s">
        <v>832</v>
      </c>
      <c r="G353" s="2" t="s">
        <v>257</v>
      </c>
      <c r="H353" s="2" t="n">
        <v>2.438</v>
      </c>
      <c r="I353" s="2" t="n">
        <v>1950</v>
      </c>
      <c r="J353" s="2" t="n">
        <v>2.468</v>
      </c>
      <c r="K353" s="2" t="n">
        <v>0.161</v>
      </c>
      <c r="L353" s="2" t="n">
        <v>2700</v>
      </c>
      <c r="M353" s="2" t="n">
        <v>20</v>
      </c>
      <c r="N353" s="2" t="n">
        <v>-182.49472</v>
      </c>
      <c r="O353" s="2" t="n">
        <v>30.47</v>
      </c>
      <c r="P353" s="2" t="s">
        <v>704</v>
      </c>
      <c r="Q353" s="2" t="s">
        <v>71</v>
      </c>
      <c r="R353" s="2" t="s">
        <v>700</v>
      </c>
      <c r="S353" s="2"/>
      <c r="T353" s="2" t="s">
        <v>515</v>
      </c>
      <c r="U353" s="2" t="n">
        <v>2.468</v>
      </c>
      <c r="V353" s="2" t="s">
        <v>71</v>
      </c>
    </row>
    <row r="354" customFormat="false" ht="15" hidden="false" customHeight="false" outlineLevel="0" collapsed="false">
      <c r="A354" s="2" t="s">
        <v>830</v>
      </c>
      <c r="B354" s="2" t="s">
        <v>579</v>
      </c>
      <c r="C354" s="2" t="s">
        <v>579</v>
      </c>
      <c r="D354" s="2" t="s">
        <v>39</v>
      </c>
      <c r="E354" s="2" t="s">
        <v>834</v>
      </c>
      <c r="F354" s="2" t="s">
        <v>832</v>
      </c>
      <c r="G354" s="2" t="s">
        <v>257</v>
      </c>
      <c r="H354" s="2" t="n">
        <v>2.627</v>
      </c>
      <c r="I354" s="2" t="n">
        <v>1950</v>
      </c>
      <c r="J354" s="2" t="n">
        <v>2.618</v>
      </c>
      <c r="K354" s="2" t="n">
        <v>0.1415</v>
      </c>
      <c r="L354" s="2" t="n">
        <v>2830</v>
      </c>
      <c r="M354" s="2" t="n">
        <v>20</v>
      </c>
      <c r="N354" s="2" t="n">
        <v>-174.796033</v>
      </c>
      <c r="O354" s="2" t="n">
        <v>30.58</v>
      </c>
      <c r="P354" s="2" t="s">
        <v>704</v>
      </c>
      <c r="Q354" s="2" t="s">
        <v>71</v>
      </c>
      <c r="R354" s="2" t="s">
        <v>700</v>
      </c>
      <c r="S354" s="2"/>
      <c r="T354" s="2" t="s">
        <v>515</v>
      </c>
      <c r="U354" s="2" t="n">
        <v>2.618</v>
      </c>
      <c r="V354" s="2" t="s">
        <v>71</v>
      </c>
    </row>
    <row r="355" customFormat="false" ht="15" hidden="false" customHeight="false" outlineLevel="0" collapsed="false">
      <c r="A355" s="2" t="s">
        <v>830</v>
      </c>
      <c r="B355" s="2" t="s">
        <v>580</v>
      </c>
      <c r="C355" s="2" t="s">
        <v>580</v>
      </c>
      <c r="D355" s="2" t="s">
        <v>39</v>
      </c>
      <c r="E355" s="2" t="s">
        <v>834</v>
      </c>
      <c r="F355" s="2" t="s">
        <v>832</v>
      </c>
      <c r="G355" s="2" t="s">
        <v>257</v>
      </c>
      <c r="H355" s="2" t="n">
        <v>2.4</v>
      </c>
      <c r="I355" s="2" t="n">
        <v>1950</v>
      </c>
      <c r="J355" s="2" t="n">
        <v>2.431</v>
      </c>
      <c r="K355" s="2" t="n">
        <v>0.1565</v>
      </c>
      <c r="L355" s="2" t="n">
        <v>2670</v>
      </c>
      <c r="M355" s="2" t="n">
        <v>15</v>
      </c>
      <c r="N355" s="2" t="n">
        <v>-184.202363</v>
      </c>
      <c r="O355" s="2" t="n">
        <v>30.36</v>
      </c>
      <c r="P355" s="2" t="s">
        <v>704</v>
      </c>
      <c r="Q355" s="2" t="s">
        <v>71</v>
      </c>
      <c r="R355" s="2" t="s">
        <v>700</v>
      </c>
      <c r="S355" s="2"/>
      <c r="T355" s="2" t="s">
        <v>515</v>
      </c>
      <c r="U355" s="2" t="n">
        <v>2.431</v>
      </c>
      <c r="V355" s="2" t="s">
        <v>71</v>
      </c>
    </row>
    <row r="356" customFormat="false" ht="15" hidden="false" customHeight="false" outlineLevel="0" collapsed="false">
      <c r="A356" s="2" t="s">
        <v>830</v>
      </c>
      <c r="B356" s="2" t="s">
        <v>581</v>
      </c>
      <c r="C356" s="2" t="s">
        <v>581</v>
      </c>
      <c r="D356" s="2" t="s">
        <v>39</v>
      </c>
      <c r="E356" s="2" t="s">
        <v>834</v>
      </c>
      <c r="F356" s="2" t="s">
        <v>832</v>
      </c>
      <c r="G356" s="2" t="s">
        <v>257</v>
      </c>
      <c r="H356" s="2" t="n">
        <v>3.24</v>
      </c>
      <c r="I356" s="2" t="n">
        <v>1950</v>
      </c>
      <c r="J356" s="2" t="n">
        <v>3.251</v>
      </c>
      <c r="K356" s="2" t="n">
        <v>0.196</v>
      </c>
      <c r="L356" s="2" t="n">
        <v>3370</v>
      </c>
      <c r="M356" s="2" t="n">
        <v>60</v>
      </c>
      <c r="N356" s="2" t="n">
        <v>-159.19</v>
      </c>
      <c r="O356" s="2" t="n">
        <v>32.59</v>
      </c>
      <c r="P356" s="2" t="s">
        <v>704</v>
      </c>
      <c r="Q356" s="2" t="s">
        <v>71</v>
      </c>
      <c r="R356" s="2" t="s">
        <v>700</v>
      </c>
      <c r="S356" s="2"/>
      <c r="T356" s="2" t="s">
        <v>515</v>
      </c>
      <c r="U356" s="2" t="n">
        <v>3.251</v>
      </c>
      <c r="V356" s="2" t="s">
        <v>71</v>
      </c>
    </row>
    <row r="357" customFormat="false" ht="15" hidden="false" customHeight="false" outlineLevel="0" collapsed="false">
      <c r="A357" s="2" t="s">
        <v>830</v>
      </c>
      <c r="B357" s="2" t="s">
        <v>583</v>
      </c>
      <c r="C357" s="2" t="s">
        <v>583</v>
      </c>
      <c r="D357" s="2" t="s">
        <v>39</v>
      </c>
      <c r="E357" s="2" t="s">
        <v>834</v>
      </c>
      <c r="F357" s="2" t="s">
        <v>832</v>
      </c>
      <c r="G357" s="2" t="s">
        <v>257</v>
      </c>
      <c r="H357" s="2" t="n">
        <v>3.223</v>
      </c>
      <c r="I357" s="2" t="n">
        <v>1950</v>
      </c>
      <c r="J357" s="2" t="n">
        <v>3.233</v>
      </c>
      <c r="K357" s="2" t="n">
        <v>0.1895</v>
      </c>
      <c r="L357" s="2" t="n">
        <v>3355</v>
      </c>
      <c r="M357" s="2" t="n">
        <v>55</v>
      </c>
      <c r="N357" s="2" t="n">
        <v>-158.98</v>
      </c>
      <c r="O357" s="2" t="n">
        <v>32.42</v>
      </c>
      <c r="P357" s="2" t="s">
        <v>704</v>
      </c>
      <c r="Q357" s="2" t="s">
        <v>71</v>
      </c>
      <c r="R357" s="2" t="s">
        <v>700</v>
      </c>
      <c r="S357" s="2"/>
      <c r="T357" s="2" t="s">
        <v>515</v>
      </c>
      <c r="U357" s="2" t="n">
        <v>3.233</v>
      </c>
      <c r="V357" s="2" t="s">
        <v>71</v>
      </c>
    </row>
    <row r="358" customFormat="false" ht="15" hidden="false" customHeight="false" outlineLevel="0" collapsed="false">
      <c r="A358" s="2" t="s">
        <v>830</v>
      </c>
      <c r="B358" s="2" t="s">
        <v>584</v>
      </c>
      <c r="C358" s="2" t="s">
        <v>584</v>
      </c>
      <c r="D358" s="2" t="s">
        <v>39</v>
      </c>
      <c r="E358" s="2" t="s">
        <v>834</v>
      </c>
      <c r="F358" s="2" t="s">
        <v>832</v>
      </c>
      <c r="G358" s="2" t="s">
        <v>257</v>
      </c>
      <c r="H358" s="2" t="n">
        <v>3.286</v>
      </c>
      <c r="I358" s="2" t="n">
        <v>1950</v>
      </c>
      <c r="J358" s="2" t="n">
        <v>3.3</v>
      </c>
      <c r="K358" s="2" t="n">
        <v>0.1945</v>
      </c>
      <c r="L358" s="2" t="n">
        <v>3410</v>
      </c>
      <c r="M358" s="2" t="n">
        <v>60</v>
      </c>
      <c r="N358" s="2" t="n">
        <v>-159.9</v>
      </c>
      <c r="O358" s="2" t="n">
        <v>33.05</v>
      </c>
      <c r="P358" s="2" t="s">
        <v>704</v>
      </c>
      <c r="Q358" s="2" t="s">
        <v>71</v>
      </c>
      <c r="R358" s="2" t="s">
        <v>700</v>
      </c>
      <c r="S358" s="2"/>
      <c r="T358" s="2" t="s">
        <v>515</v>
      </c>
      <c r="U358" s="2" t="n">
        <v>3.3</v>
      </c>
      <c r="V358" s="2" t="s">
        <v>71</v>
      </c>
    </row>
    <row r="359" customFormat="false" ht="15" hidden="false" customHeight="false" outlineLevel="0" collapsed="false">
      <c r="A359" s="2" t="s">
        <v>830</v>
      </c>
      <c r="B359" s="2" t="s">
        <v>585</v>
      </c>
      <c r="C359" s="2" t="s">
        <v>585</v>
      </c>
      <c r="D359" s="2" t="s">
        <v>39</v>
      </c>
      <c r="E359" s="2" t="s">
        <v>834</v>
      </c>
      <c r="F359" s="2" t="s">
        <v>832</v>
      </c>
      <c r="G359" s="2" t="s">
        <v>257</v>
      </c>
      <c r="H359" s="2" t="n">
        <v>3.081</v>
      </c>
      <c r="I359" s="2" t="n">
        <v>1950</v>
      </c>
      <c r="J359" s="2" t="n">
        <v>3.091</v>
      </c>
      <c r="K359" s="2" t="n">
        <v>0.211</v>
      </c>
      <c r="L359" s="2" t="n">
        <v>3250</v>
      </c>
      <c r="M359" s="2" t="n">
        <v>60</v>
      </c>
      <c r="N359" s="2" t="n">
        <v>-158.39</v>
      </c>
      <c r="O359" s="2" t="n">
        <v>31.23</v>
      </c>
      <c r="P359" s="2" t="s">
        <v>704</v>
      </c>
      <c r="Q359" s="2" t="s">
        <v>71</v>
      </c>
      <c r="R359" s="2" t="s">
        <v>700</v>
      </c>
      <c r="S359" s="2"/>
      <c r="T359" s="2" t="s">
        <v>515</v>
      </c>
      <c r="U359" s="2" t="n">
        <v>3.091</v>
      </c>
      <c r="V359" s="2" t="s">
        <v>71</v>
      </c>
    </row>
    <row r="360" customFormat="false" ht="15" hidden="false" customHeight="false" outlineLevel="0" collapsed="false">
      <c r="A360" s="2" t="s">
        <v>830</v>
      </c>
      <c r="B360" s="2" t="s">
        <v>586</v>
      </c>
      <c r="C360" s="2" t="s">
        <v>586</v>
      </c>
      <c r="D360" s="2" t="s">
        <v>39</v>
      </c>
      <c r="E360" s="2" t="s">
        <v>834</v>
      </c>
      <c r="F360" s="2" t="s">
        <v>832</v>
      </c>
      <c r="G360" s="2" t="s">
        <v>257</v>
      </c>
      <c r="H360" s="2" t="n">
        <v>2.939</v>
      </c>
      <c r="I360" s="2" t="n">
        <v>1950</v>
      </c>
      <c r="J360" s="2" t="n">
        <v>2.949</v>
      </c>
      <c r="K360" s="2" t="n">
        <v>0.2</v>
      </c>
      <c r="L360" s="2" t="n">
        <v>3140</v>
      </c>
      <c r="M360" s="2" t="n">
        <v>60</v>
      </c>
      <c r="N360" s="2" t="n">
        <v>-159.99</v>
      </c>
      <c r="O360" s="2" t="n">
        <v>30.35</v>
      </c>
      <c r="P360" s="2" t="s">
        <v>704</v>
      </c>
      <c r="Q360" s="2" t="s">
        <v>71</v>
      </c>
      <c r="R360" s="2" t="s">
        <v>700</v>
      </c>
      <c r="S360" s="2"/>
      <c r="T360" s="2" t="s">
        <v>515</v>
      </c>
      <c r="U360" s="2" t="n">
        <v>2.949</v>
      </c>
      <c r="V360" s="2" t="s">
        <v>71</v>
      </c>
    </row>
    <row r="361" customFormat="false" ht="15" hidden="false" customHeight="false" outlineLevel="0" collapsed="false">
      <c r="A361" s="2" t="s">
        <v>830</v>
      </c>
      <c r="B361" s="2" t="s">
        <v>581</v>
      </c>
      <c r="C361" s="2" t="s">
        <v>581</v>
      </c>
      <c r="D361" s="2" t="s">
        <v>39</v>
      </c>
      <c r="E361" s="2" t="s">
        <v>834</v>
      </c>
      <c r="F361" s="2" t="s">
        <v>832</v>
      </c>
      <c r="G361" s="2" t="s">
        <v>257</v>
      </c>
      <c r="H361" s="2" t="n">
        <v>4.317</v>
      </c>
      <c r="I361" s="2" t="n">
        <v>1950</v>
      </c>
      <c r="J361" s="2" t="n">
        <v>4.334</v>
      </c>
      <c r="K361" s="2" t="n">
        <v>0.2365</v>
      </c>
      <c r="L361" s="2" t="n">
        <v>4190</v>
      </c>
      <c r="M361" s="2" t="n">
        <v>70</v>
      </c>
      <c r="N361" s="2" t="n">
        <v>-184.18</v>
      </c>
      <c r="O361" s="2" t="n">
        <v>32.59</v>
      </c>
      <c r="P361" s="2" t="s">
        <v>704</v>
      </c>
      <c r="Q361" s="2" t="s">
        <v>71</v>
      </c>
      <c r="R361" s="2" t="s">
        <v>700</v>
      </c>
      <c r="S361" s="2"/>
      <c r="T361" s="2" t="s">
        <v>515</v>
      </c>
      <c r="U361" s="2" t="n">
        <v>4.334</v>
      </c>
      <c r="V361" s="2" t="s">
        <v>71</v>
      </c>
    </row>
    <row r="362" customFormat="false" ht="15" hidden="false" customHeight="false" outlineLevel="0" collapsed="false">
      <c r="A362" s="2" t="s">
        <v>830</v>
      </c>
      <c r="B362" s="2" t="s">
        <v>585</v>
      </c>
      <c r="C362" s="2" t="s">
        <v>585</v>
      </c>
      <c r="D362" s="2" t="s">
        <v>39</v>
      </c>
      <c r="E362" s="2" t="s">
        <v>834</v>
      </c>
      <c r="F362" s="2" t="s">
        <v>832</v>
      </c>
      <c r="G362" s="2" t="s">
        <v>257</v>
      </c>
      <c r="H362" s="2" t="n">
        <v>3.207</v>
      </c>
      <c r="I362" s="2" t="n">
        <v>1950</v>
      </c>
      <c r="J362" s="2" t="n">
        <v>3.218</v>
      </c>
      <c r="K362" s="2" t="n">
        <v>0.1455</v>
      </c>
      <c r="L362" s="2" t="n">
        <v>3340</v>
      </c>
      <c r="M362" s="2" t="n">
        <v>20</v>
      </c>
      <c r="N362" s="2" t="n">
        <v>-158.793017</v>
      </c>
      <c r="O362" s="2" t="n">
        <v>31.23</v>
      </c>
      <c r="P362" s="2" t="s">
        <v>704</v>
      </c>
      <c r="Q362" s="2" t="s">
        <v>71</v>
      </c>
      <c r="R362" s="2" t="s">
        <v>700</v>
      </c>
      <c r="S362" s="2"/>
      <c r="T362" s="2" t="s">
        <v>515</v>
      </c>
      <c r="U362" s="2" t="n">
        <v>3.218</v>
      </c>
      <c r="V362" s="2" t="s">
        <v>71</v>
      </c>
    </row>
    <row r="363" customFormat="false" ht="15" hidden="false" customHeight="false" outlineLevel="0" collapsed="false">
      <c r="A363" s="2" t="s">
        <v>830</v>
      </c>
      <c r="B363" s="2" t="s">
        <v>587</v>
      </c>
      <c r="C363" s="2" t="s">
        <v>587</v>
      </c>
      <c r="D363" s="2" t="s">
        <v>39</v>
      </c>
      <c r="E363" s="2" t="s">
        <v>834</v>
      </c>
      <c r="F363" s="2" t="s">
        <v>832</v>
      </c>
      <c r="G363" s="2" t="s">
        <v>257</v>
      </c>
      <c r="H363" s="2" t="n">
        <v>5.276</v>
      </c>
      <c r="I363" s="2" t="n">
        <v>1950</v>
      </c>
      <c r="J363" s="2" t="n">
        <v>5.241</v>
      </c>
      <c r="K363" s="2" t="n">
        <v>0.181</v>
      </c>
      <c r="L363" s="2" t="n">
        <v>4920</v>
      </c>
      <c r="M363" s="2" t="n">
        <v>25</v>
      </c>
      <c r="N363" s="2" t="n">
        <v>-164.519427</v>
      </c>
      <c r="O363" s="2" t="n">
        <v>29.1</v>
      </c>
      <c r="P363" s="2" t="s">
        <v>704</v>
      </c>
      <c r="Q363" s="2" t="s">
        <v>71</v>
      </c>
      <c r="R363" s="2" t="s">
        <v>700</v>
      </c>
      <c r="S363" s="2"/>
      <c r="T363" s="2" t="s">
        <v>515</v>
      </c>
      <c r="U363" s="2" t="n">
        <v>5.241</v>
      </c>
      <c r="V363" s="2" t="s">
        <v>71</v>
      </c>
    </row>
    <row r="364" customFormat="false" ht="15" hidden="false" customHeight="false" outlineLevel="0" collapsed="false">
      <c r="A364" s="2" t="s">
        <v>830</v>
      </c>
      <c r="B364" s="2" t="s">
        <v>588</v>
      </c>
      <c r="C364" s="2" t="s">
        <v>588</v>
      </c>
      <c r="D364" s="2" t="s">
        <v>39</v>
      </c>
      <c r="E364" s="2" t="s">
        <v>834</v>
      </c>
      <c r="F364" s="2" t="s">
        <v>832</v>
      </c>
      <c r="G364" s="2" t="s">
        <v>257</v>
      </c>
      <c r="H364" s="2" t="n">
        <v>5.138</v>
      </c>
      <c r="I364" s="2" t="n">
        <v>1950</v>
      </c>
      <c r="J364" s="2" t="n">
        <v>5.12</v>
      </c>
      <c r="K364" s="2" t="n">
        <v>0.2305</v>
      </c>
      <c r="L364" s="2" t="n">
        <v>4830</v>
      </c>
      <c r="M364" s="2" t="n">
        <v>70</v>
      </c>
      <c r="N364" s="2" t="n">
        <v>-166.06</v>
      </c>
      <c r="O364" s="2" t="n">
        <v>28.9</v>
      </c>
      <c r="P364" s="2" t="s">
        <v>704</v>
      </c>
      <c r="Q364" s="2" t="s">
        <v>71</v>
      </c>
      <c r="R364" s="2" t="s">
        <v>700</v>
      </c>
      <c r="S364" s="2"/>
      <c r="T364" s="2" t="s">
        <v>515</v>
      </c>
      <c r="U364" s="2" t="n">
        <v>5.12</v>
      </c>
      <c r="V364" s="2" t="s">
        <v>71</v>
      </c>
    </row>
    <row r="365" customFormat="false" ht="15" hidden="false" customHeight="false" outlineLevel="0" collapsed="false">
      <c r="A365" s="2" t="s">
        <v>830</v>
      </c>
      <c r="B365" s="2" t="s">
        <v>589</v>
      </c>
      <c r="C365" s="2" t="s">
        <v>589</v>
      </c>
      <c r="D365" s="2" t="s">
        <v>39</v>
      </c>
      <c r="E365" s="2" t="s">
        <v>834</v>
      </c>
      <c r="F365" s="2" t="s">
        <v>832</v>
      </c>
      <c r="G365" s="2" t="s">
        <v>257</v>
      </c>
      <c r="H365" s="2" t="n">
        <v>5.79</v>
      </c>
      <c r="I365" s="2" t="n">
        <v>1950</v>
      </c>
      <c r="J365" s="2" t="n">
        <v>5.786</v>
      </c>
      <c r="K365" s="2" t="n">
        <v>0.2305</v>
      </c>
      <c r="L365" s="2" t="n">
        <v>5410</v>
      </c>
      <c r="M365" s="2" t="n">
        <v>90</v>
      </c>
      <c r="N365" s="2" t="n">
        <v>-159.88</v>
      </c>
      <c r="O365" s="2" t="n">
        <v>28.81</v>
      </c>
      <c r="P365" s="2" t="s">
        <v>704</v>
      </c>
      <c r="Q365" s="2" t="s">
        <v>71</v>
      </c>
      <c r="R365" s="2" t="s">
        <v>700</v>
      </c>
      <c r="S365" s="2"/>
      <c r="T365" s="2" t="s">
        <v>515</v>
      </c>
      <c r="U365" s="2" t="n">
        <v>5.786</v>
      </c>
      <c r="V365" s="2" t="s">
        <v>71</v>
      </c>
    </row>
    <row r="366" customFormat="false" ht="15" hidden="false" customHeight="false" outlineLevel="0" collapsed="false">
      <c r="A366" s="2" t="s">
        <v>830</v>
      </c>
      <c r="B366" s="2" t="s">
        <v>590</v>
      </c>
      <c r="C366" s="2" t="s">
        <v>590</v>
      </c>
      <c r="D366" s="2" t="s">
        <v>39</v>
      </c>
      <c r="E366" s="2" t="s">
        <v>834</v>
      </c>
      <c r="F366" s="2" t="s">
        <v>832</v>
      </c>
      <c r="G366" s="2" t="s">
        <v>257</v>
      </c>
      <c r="H366" s="2" t="n">
        <v>5.63</v>
      </c>
      <c r="I366" s="2" t="n">
        <v>1950</v>
      </c>
      <c r="J366" s="2" t="n">
        <v>5.619</v>
      </c>
      <c r="K366" s="2" t="n">
        <v>0.2325</v>
      </c>
      <c r="L366" s="2" t="n">
        <v>5250</v>
      </c>
      <c r="M366" s="2" t="n">
        <v>80</v>
      </c>
      <c r="N366" s="2" t="n">
        <v>-162.44</v>
      </c>
      <c r="O366" s="2" t="n">
        <v>29.32</v>
      </c>
      <c r="P366" s="2" t="s">
        <v>704</v>
      </c>
      <c r="Q366" s="2" t="s">
        <v>71</v>
      </c>
      <c r="R366" s="2" t="s">
        <v>700</v>
      </c>
      <c r="S366" s="2"/>
      <c r="T366" s="2" t="s">
        <v>515</v>
      </c>
      <c r="U366" s="2" t="n">
        <v>5.619</v>
      </c>
      <c r="V366" s="2" t="s">
        <v>71</v>
      </c>
    </row>
    <row r="367" customFormat="false" ht="15" hidden="false" customHeight="false" outlineLevel="0" collapsed="false">
      <c r="A367" s="2" t="s">
        <v>830</v>
      </c>
      <c r="B367" s="2" t="s">
        <v>591</v>
      </c>
      <c r="C367" s="2" t="s">
        <v>591</v>
      </c>
      <c r="D367" s="2" t="s">
        <v>39</v>
      </c>
      <c r="E367" s="2" t="s">
        <v>834</v>
      </c>
      <c r="F367" s="2" t="s">
        <v>832</v>
      </c>
      <c r="G367" s="2" t="s">
        <v>257</v>
      </c>
      <c r="H367" s="2" t="n">
        <v>3.364</v>
      </c>
      <c r="I367" s="2" t="n">
        <v>1950</v>
      </c>
      <c r="J367" s="2" t="n">
        <v>3.378</v>
      </c>
      <c r="K367" s="2" t="n">
        <v>0.145</v>
      </c>
      <c r="L367" s="2" t="n">
        <v>3470</v>
      </c>
      <c r="M367" s="2" t="n">
        <v>25</v>
      </c>
      <c r="N367" s="2" t="n">
        <v>-161.28</v>
      </c>
      <c r="O367" s="2" t="n">
        <v>33.69</v>
      </c>
      <c r="P367" s="2" t="s">
        <v>704</v>
      </c>
      <c r="Q367" s="2" t="s">
        <v>71</v>
      </c>
      <c r="R367" s="2" t="s">
        <v>700</v>
      </c>
      <c r="S367" s="2"/>
      <c r="T367" s="2" t="s">
        <v>515</v>
      </c>
      <c r="U367" s="2" t="n">
        <v>3.378</v>
      </c>
      <c r="V367" s="2" t="s">
        <v>71</v>
      </c>
    </row>
    <row r="368" customFormat="false" ht="15" hidden="false" customHeight="false" outlineLevel="0" collapsed="false">
      <c r="A368" s="2" t="s">
        <v>830</v>
      </c>
      <c r="B368" s="2" t="s">
        <v>593</v>
      </c>
      <c r="C368" s="2" t="s">
        <v>593</v>
      </c>
      <c r="D368" s="2" t="s">
        <v>39</v>
      </c>
      <c r="E368" s="2" t="s">
        <v>835</v>
      </c>
      <c r="F368" s="2" t="s">
        <v>836</v>
      </c>
      <c r="G368" s="2" t="s">
        <v>393</v>
      </c>
      <c r="H368" s="2" t="n">
        <v>0.975</v>
      </c>
      <c r="I368" s="2" t="n">
        <v>1950</v>
      </c>
      <c r="J368" s="2" t="n">
        <v>0.975</v>
      </c>
      <c r="K368" s="2" t="n">
        <v>0.006</v>
      </c>
      <c r="L368" s="2"/>
      <c r="M368" s="2"/>
      <c r="N368" s="2"/>
      <c r="O368" s="2"/>
      <c r="P368" s="2"/>
      <c r="Q368" s="2" t="s">
        <v>71</v>
      </c>
      <c r="R368" s="2" t="s">
        <v>700</v>
      </c>
      <c r="S368" s="2"/>
      <c r="T368" s="2" t="s">
        <v>594</v>
      </c>
      <c r="U368" s="2" t="n">
        <v>0.975</v>
      </c>
      <c r="V368" s="2" t="s">
        <v>71</v>
      </c>
    </row>
    <row r="369" customFormat="false" ht="15" hidden="false" customHeight="false" outlineLevel="0" collapsed="false">
      <c r="A369" s="2" t="s">
        <v>830</v>
      </c>
      <c r="B369" s="2" t="s">
        <v>596</v>
      </c>
      <c r="C369" s="2" t="s">
        <v>596</v>
      </c>
      <c r="D369" s="2" t="s">
        <v>39</v>
      </c>
      <c r="E369" s="2" t="s">
        <v>835</v>
      </c>
      <c r="F369" s="2" t="s">
        <v>836</v>
      </c>
      <c r="G369" s="2" t="s">
        <v>393</v>
      </c>
      <c r="H369" s="2" t="n">
        <v>1.891</v>
      </c>
      <c r="I369" s="2" t="n">
        <v>1950</v>
      </c>
      <c r="J369" s="2" t="n">
        <v>1.891</v>
      </c>
      <c r="K369" s="2" t="n">
        <v>0.008</v>
      </c>
      <c r="L369" s="2"/>
      <c r="M369" s="2"/>
      <c r="N369" s="2"/>
      <c r="O369" s="2"/>
      <c r="P369" s="2"/>
      <c r="Q369" s="2" t="s">
        <v>71</v>
      </c>
      <c r="R369" s="2" t="s">
        <v>700</v>
      </c>
      <c r="S369" s="2"/>
      <c r="T369" s="2" t="s">
        <v>594</v>
      </c>
      <c r="U369" s="2" t="n">
        <v>1.891</v>
      </c>
      <c r="V369" s="2" t="s">
        <v>71</v>
      </c>
    </row>
    <row r="370" customFormat="false" ht="15" hidden="false" customHeight="false" outlineLevel="0" collapsed="false">
      <c r="A370" s="2" t="s">
        <v>830</v>
      </c>
      <c r="B370" s="2" t="s">
        <v>597</v>
      </c>
      <c r="C370" s="2" t="s">
        <v>597</v>
      </c>
      <c r="D370" s="2" t="s">
        <v>39</v>
      </c>
      <c r="E370" s="2" t="s">
        <v>835</v>
      </c>
      <c r="F370" s="2" t="s">
        <v>836</v>
      </c>
      <c r="G370" s="2" t="s">
        <v>393</v>
      </c>
      <c r="H370" s="2" t="n">
        <v>2.272</v>
      </c>
      <c r="I370" s="2" t="n">
        <v>1950</v>
      </c>
      <c r="J370" s="2" t="n">
        <v>2.272</v>
      </c>
      <c r="K370" s="2" t="n">
        <v>0.008</v>
      </c>
      <c r="L370" s="2"/>
      <c r="M370" s="2"/>
      <c r="N370" s="2"/>
      <c r="O370" s="2"/>
      <c r="P370" s="2"/>
      <c r="Q370" s="2" t="s">
        <v>71</v>
      </c>
      <c r="R370" s="2" t="s">
        <v>700</v>
      </c>
      <c r="S370" s="2"/>
      <c r="T370" s="2" t="s">
        <v>594</v>
      </c>
      <c r="U370" s="2" t="n">
        <v>2.272</v>
      </c>
      <c r="V370" s="2" t="s">
        <v>71</v>
      </c>
    </row>
    <row r="371" customFormat="false" ht="15" hidden="false" customHeight="false" outlineLevel="0" collapsed="false">
      <c r="A371" s="2" t="s">
        <v>830</v>
      </c>
      <c r="B371" s="2" t="s">
        <v>598</v>
      </c>
      <c r="C371" s="2" t="s">
        <v>598</v>
      </c>
      <c r="D371" s="2" t="s">
        <v>39</v>
      </c>
      <c r="E371" s="2" t="s">
        <v>835</v>
      </c>
      <c r="F371" s="2" t="s">
        <v>836</v>
      </c>
      <c r="G371" s="2" t="s">
        <v>393</v>
      </c>
      <c r="H371" s="2" t="n">
        <v>2.388</v>
      </c>
      <c r="I371" s="2" t="n">
        <v>1950</v>
      </c>
      <c r="J371" s="2" t="n">
        <v>2.388</v>
      </c>
      <c r="K371" s="2" t="n">
        <v>0.009</v>
      </c>
      <c r="L371" s="2"/>
      <c r="M371" s="2"/>
      <c r="N371" s="2"/>
      <c r="O371" s="2"/>
      <c r="P371" s="2"/>
      <c r="Q371" s="2" t="s">
        <v>71</v>
      </c>
      <c r="R371" s="2" t="s">
        <v>700</v>
      </c>
      <c r="S371" s="2"/>
      <c r="T371" s="2" t="s">
        <v>594</v>
      </c>
      <c r="U371" s="2" t="n">
        <v>2.388</v>
      </c>
      <c r="V371" s="2" t="s">
        <v>71</v>
      </c>
    </row>
    <row r="372" customFormat="false" ht="15" hidden="false" customHeight="false" outlineLevel="0" collapsed="false">
      <c r="A372" s="2" t="s">
        <v>830</v>
      </c>
      <c r="B372" s="2" t="s">
        <v>599</v>
      </c>
      <c r="C372" s="2" t="s">
        <v>599</v>
      </c>
      <c r="D372" s="2" t="s">
        <v>39</v>
      </c>
      <c r="E372" s="2" t="s">
        <v>835</v>
      </c>
      <c r="F372" s="2" t="s">
        <v>836</v>
      </c>
      <c r="G372" s="2" t="s">
        <v>393</v>
      </c>
      <c r="H372" s="2" t="n">
        <v>2.389</v>
      </c>
      <c r="I372" s="2" t="n">
        <v>1950</v>
      </c>
      <c r="J372" s="2" t="n">
        <v>2.389</v>
      </c>
      <c r="K372" s="2" t="n">
        <v>0.005</v>
      </c>
      <c r="L372" s="2"/>
      <c r="M372" s="2"/>
      <c r="N372" s="2"/>
      <c r="O372" s="2"/>
      <c r="P372" s="2"/>
      <c r="Q372" s="2" t="s">
        <v>71</v>
      </c>
      <c r="R372" s="2" t="s">
        <v>700</v>
      </c>
      <c r="S372" s="2"/>
      <c r="T372" s="2" t="s">
        <v>594</v>
      </c>
      <c r="U372" s="2" t="n">
        <v>2.389</v>
      </c>
      <c r="V372" s="2" t="s">
        <v>71</v>
      </c>
    </row>
    <row r="373" customFormat="false" ht="15" hidden="false" customHeight="false" outlineLevel="0" collapsed="false">
      <c r="A373" s="2" t="s">
        <v>830</v>
      </c>
      <c r="B373" s="2" t="s">
        <v>600</v>
      </c>
      <c r="C373" s="2" t="s">
        <v>600</v>
      </c>
      <c r="D373" s="2" t="s">
        <v>39</v>
      </c>
      <c r="E373" s="2" t="s">
        <v>835</v>
      </c>
      <c r="F373" s="2" t="s">
        <v>836</v>
      </c>
      <c r="G373" s="2" t="s">
        <v>393</v>
      </c>
      <c r="H373" s="2" t="n">
        <v>2.436</v>
      </c>
      <c r="I373" s="2" t="n">
        <v>1950</v>
      </c>
      <c r="J373" s="2" t="n">
        <v>2.436</v>
      </c>
      <c r="K373" s="2" t="n">
        <v>0.008</v>
      </c>
      <c r="L373" s="2"/>
      <c r="M373" s="2"/>
      <c r="N373" s="2"/>
      <c r="O373" s="2"/>
      <c r="P373" s="2"/>
      <c r="Q373" s="2" t="s">
        <v>71</v>
      </c>
      <c r="R373" s="2" t="s">
        <v>700</v>
      </c>
      <c r="S373" s="2"/>
      <c r="T373" s="2" t="s">
        <v>594</v>
      </c>
      <c r="U373" s="2" t="n">
        <v>2.436</v>
      </c>
      <c r="V373" s="2" t="s">
        <v>71</v>
      </c>
    </row>
    <row r="374" customFormat="false" ht="15" hidden="false" customHeight="false" outlineLevel="0" collapsed="false">
      <c r="A374" s="2" t="s">
        <v>830</v>
      </c>
      <c r="B374" s="2" t="s">
        <v>601</v>
      </c>
      <c r="C374" s="2" t="s">
        <v>601</v>
      </c>
      <c r="D374" s="2" t="s">
        <v>39</v>
      </c>
      <c r="E374" s="2" t="s">
        <v>835</v>
      </c>
      <c r="F374" s="2" t="s">
        <v>836</v>
      </c>
      <c r="G374" s="2" t="s">
        <v>393</v>
      </c>
      <c r="H374" s="2" t="n">
        <v>2.441</v>
      </c>
      <c r="I374" s="2" t="n">
        <v>1950</v>
      </c>
      <c r="J374" s="2" t="n">
        <v>2.441</v>
      </c>
      <c r="K374" s="2" t="n">
        <v>0.006</v>
      </c>
      <c r="L374" s="2"/>
      <c r="M374" s="2"/>
      <c r="N374" s="2"/>
      <c r="O374" s="2"/>
      <c r="P374" s="2"/>
      <c r="Q374" s="2" t="s">
        <v>71</v>
      </c>
      <c r="R374" s="2" t="s">
        <v>700</v>
      </c>
      <c r="S374" s="2"/>
      <c r="T374" s="2" t="s">
        <v>594</v>
      </c>
      <c r="U374" s="2" t="n">
        <v>2.441</v>
      </c>
      <c r="V374" s="2" t="s">
        <v>71</v>
      </c>
    </row>
    <row r="375" customFormat="false" ht="15" hidden="false" customHeight="false" outlineLevel="0" collapsed="false">
      <c r="A375" s="2" t="s">
        <v>830</v>
      </c>
      <c r="B375" s="2" t="s">
        <v>602</v>
      </c>
      <c r="C375" s="2" t="s">
        <v>602</v>
      </c>
      <c r="D375" s="2" t="s">
        <v>39</v>
      </c>
      <c r="E375" s="2" t="s">
        <v>835</v>
      </c>
      <c r="F375" s="2" t="s">
        <v>836</v>
      </c>
      <c r="G375" s="2" t="s">
        <v>393</v>
      </c>
      <c r="H375" s="2" t="n">
        <v>2.465</v>
      </c>
      <c r="I375" s="2" t="n">
        <v>1950</v>
      </c>
      <c r="J375" s="2" t="n">
        <v>2.465</v>
      </c>
      <c r="K375" s="2" t="n">
        <v>0.006</v>
      </c>
      <c r="L375" s="2"/>
      <c r="M375" s="2"/>
      <c r="N375" s="2"/>
      <c r="O375" s="2"/>
      <c r="P375" s="2"/>
      <c r="Q375" s="2" t="s">
        <v>71</v>
      </c>
      <c r="R375" s="2" t="s">
        <v>700</v>
      </c>
      <c r="S375" s="2"/>
      <c r="T375" s="2" t="s">
        <v>594</v>
      </c>
      <c r="U375" s="2" t="n">
        <v>2.465</v>
      </c>
      <c r="V375" s="2" t="s">
        <v>71</v>
      </c>
    </row>
    <row r="376" customFormat="false" ht="15" hidden="false" customHeight="false" outlineLevel="0" collapsed="false">
      <c r="A376" s="2" t="s">
        <v>830</v>
      </c>
      <c r="B376" s="2" t="s">
        <v>603</v>
      </c>
      <c r="C376" s="2" t="s">
        <v>603</v>
      </c>
      <c r="D376" s="2" t="s">
        <v>39</v>
      </c>
      <c r="E376" s="2" t="s">
        <v>835</v>
      </c>
      <c r="F376" s="2" t="s">
        <v>836</v>
      </c>
      <c r="G376" s="2" t="s">
        <v>393</v>
      </c>
      <c r="H376" s="2" t="n">
        <v>2.642</v>
      </c>
      <c r="I376" s="2" t="n">
        <v>1950</v>
      </c>
      <c r="J376" s="2" t="n">
        <v>2.642</v>
      </c>
      <c r="K376" s="2" t="n">
        <v>0.011</v>
      </c>
      <c r="L376" s="2"/>
      <c r="M376" s="2"/>
      <c r="N376" s="2"/>
      <c r="O376" s="2"/>
      <c r="P376" s="2"/>
      <c r="Q376" s="2" t="s">
        <v>71</v>
      </c>
      <c r="R376" s="2" t="s">
        <v>700</v>
      </c>
      <c r="S376" s="2"/>
      <c r="T376" s="2" t="s">
        <v>594</v>
      </c>
      <c r="U376" s="2" t="n">
        <v>2.642</v>
      </c>
      <c r="V376" s="2" t="s">
        <v>71</v>
      </c>
    </row>
    <row r="377" customFormat="false" ht="15" hidden="false" customHeight="false" outlineLevel="0" collapsed="false">
      <c r="A377" s="2" t="s">
        <v>830</v>
      </c>
      <c r="B377" s="2" t="s">
        <v>604</v>
      </c>
      <c r="C377" s="2" t="s">
        <v>604</v>
      </c>
      <c r="D377" s="2" t="s">
        <v>39</v>
      </c>
      <c r="E377" s="2" t="s">
        <v>835</v>
      </c>
      <c r="F377" s="2" t="s">
        <v>836</v>
      </c>
      <c r="G377" s="2" t="s">
        <v>393</v>
      </c>
      <c r="H377" s="2" t="n">
        <v>2.705</v>
      </c>
      <c r="I377" s="2" t="n">
        <v>1950</v>
      </c>
      <c r="J377" s="2" t="n">
        <v>2.705</v>
      </c>
      <c r="K377" s="2" t="n">
        <v>0.009</v>
      </c>
      <c r="L377" s="2"/>
      <c r="M377" s="2"/>
      <c r="N377" s="2"/>
      <c r="O377" s="2"/>
      <c r="P377" s="2"/>
      <c r="Q377" s="2" t="s">
        <v>71</v>
      </c>
      <c r="R377" s="2" t="s">
        <v>700</v>
      </c>
      <c r="S377" s="2"/>
      <c r="T377" s="2" t="s">
        <v>594</v>
      </c>
      <c r="U377" s="2" t="n">
        <v>2.705</v>
      </c>
      <c r="V377" s="2" t="s">
        <v>71</v>
      </c>
    </row>
    <row r="378" customFormat="false" ht="15" hidden="false" customHeight="false" outlineLevel="0" collapsed="false">
      <c r="A378" s="2" t="s">
        <v>830</v>
      </c>
      <c r="B378" s="2" t="s">
        <v>605</v>
      </c>
      <c r="C378" s="2" t="s">
        <v>605</v>
      </c>
      <c r="D378" s="2" t="s">
        <v>39</v>
      </c>
      <c r="E378" s="2" t="s">
        <v>835</v>
      </c>
      <c r="F378" s="2" t="s">
        <v>836</v>
      </c>
      <c r="G378" s="2" t="s">
        <v>393</v>
      </c>
      <c r="H378" s="2" t="n">
        <v>2.811</v>
      </c>
      <c r="I378" s="2" t="n">
        <v>1950</v>
      </c>
      <c r="J378" s="2" t="n">
        <v>2.811</v>
      </c>
      <c r="K378" s="2" t="n">
        <v>0.004</v>
      </c>
      <c r="L378" s="2"/>
      <c r="M378" s="2"/>
      <c r="N378" s="2"/>
      <c r="O378" s="2"/>
      <c r="P378" s="2"/>
      <c r="Q378" s="2" t="s">
        <v>71</v>
      </c>
      <c r="R378" s="2" t="s">
        <v>700</v>
      </c>
      <c r="S378" s="2"/>
      <c r="T378" s="2" t="s">
        <v>594</v>
      </c>
      <c r="U378" s="2" t="n">
        <v>2.811</v>
      </c>
      <c r="V378" s="2" t="s">
        <v>71</v>
      </c>
    </row>
    <row r="379" customFormat="false" ht="15" hidden="false" customHeight="false" outlineLevel="0" collapsed="false">
      <c r="A379" s="2" t="s">
        <v>830</v>
      </c>
      <c r="B379" s="2" t="s">
        <v>606</v>
      </c>
      <c r="C379" s="2" t="s">
        <v>606</v>
      </c>
      <c r="D379" s="2" t="s">
        <v>39</v>
      </c>
      <c r="E379" s="2" t="s">
        <v>835</v>
      </c>
      <c r="F379" s="2" t="s">
        <v>836</v>
      </c>
      <c r="G379" s="2" t="s">
        <v>393</v>
      </c>
      <c r="H379" s="2" t="n">
        <v>3.017</v>
      </c>
      <c r="I379" s="2" t="n">
        <v>1950</v>
      </c>
      <c r="J379" s="2" t="n">
        <v>3.017</v>
      </c>
      <c r="K379" s="2" t="n">
        <v>0.008</v>
      </c>
      <c r="L379" s="2"/>
      <c r="M379" s="2"/>
      <c r="N379" s="2"/>
      <c r="O379" s="2"/>
      <c r="P379" s="2"/>
      <c r="Q379" s="2" t="s">
        <v>71</v>
      </c>
      <c r="R379" s="2" t="s">
        <v>700</v>
      </c>
      <c r="S379" s="2"/>
      <c r="T379" s="2" t="s">
        <v>594</v>
      </c>
      <c r="U379" s="2" t="n">
        <v>3.017</v>
      </c>
      <c r="V379" s="2" t="s">
        <v>71</v>
      </c>
    </row>
    <row r="380" customFormat="false" ht="15" hidden="false" customHeight="false" outlineLevel="0" collapsed="false">
      <c r="A380" s="2" t="s">
        <v>830</v>
      </c>
      <c r="B380" s="2" t="s">
        <v>607</v>
      </c>
      <c r="C380" s="2" t="s">
        <v>607</v>
      </c>
      <c r="D380" s="2" t="s">
        <v>39</v>
      </c>
      <c r="E380" s="2" t="s">
        <v>835</v>
      </c>
      <c r="F380" s="2" t="s">
        <v>836</v>
      </c>
      <c r="G380" s="2" t="s">
        <v>393</v>
      </c>
      <c r="H380" s="2" t="n">
        <v>3.089</v>
      </c>
      <c r="I380" s="2" t="n">
        <v>1950</v>
      </c>
      <c r="J380" s="2" t="n">
        <v>3.089</v>
      </c>
      <c r="K380" s="2" t="n">
        <v>0.011</v>
      </c>
      <c r="L380" s="2"/>
      <c r="M380" s="2"/>
      <c r="N380" s="2"/>
      <c r="O380" s="2"/>
      <c r="P380" s="2"/>
      <c r="Q380" s="2" t="s">
        <v>71</v>
      </c>
      <c r="R380" s="2" t="s">
        <v>700</v>
      </c>
      <c r="S380" s="2"/>
      <c r="T380" s="2" t="s">
        <v>594</v>
      </c>
      <c r="U380" s="2" t="n">
        <v>3.089</v>
      </c>
      <c r="V380" s="2" t="s">
        <v>71</v>
      </c>
    </row>
    <row r="381" customFormat="false" ht="15" hidden="false" customHeight="false" outlineLevel="0" collapsed="false">
      <c r="A381" s="2" t="s">
        <v>830</v>
      </c>
      <c r="B381" s="2" t="s">
        <v>608</v>
      </c>
      <c r="C381" s="2" t="s">
        <v>608</v>
      </c>
      <c r="D381" s="2" t="s">
        <v>39</v>
      </c>
      <c r="E381" s="2" t="s">
        <v>835</v>
      </c>
      <c r="F381" s="2" t="s">
        <v>836</v>
      </c>
      <c r="G381" s="2" t="s">
        <v>393</v>
      </c>
      <c r="H381" s="2" t="n">
        <v>3.13</v>
      </c>
      <c r="I381" s="2" t="n">
        <v>1950</v>
      </c>
      <c r="J381" s="2" t="n">
        <v>3.13</v>
      </c>
      <c r="K381" s="2" t="n">
        <v>0.01</v>
      </c>
      <c r="L381" s="2"/>
      <c r="M381" s="2"/>
      <c r="N381" s="2"/>
      <c r="O381" s="2"/>
      <c r="P381" s="2"/>
      <c r="Q381" s="2" t="s">
        <v>71</v>
      </c>
      <c r="R381" s="2" t="s">
        <v>700</v>
      </c>
      <c r="S381" s="2"/>
      <c r="T381" s="2" t="s">
        <v>594</v>
      </c>
      <c r="U381" s="2" t="n">
        <v>3.13</v>
      </c>
      <c r="V381" s="2" t="s">
        <v>71</v>
      </c>
    </row>
    <row r="382" customFormat="false" ht="15" hidden="false" customHeight="false" outlineLevel="0" collapsed="false">
      <c r="A382" s="2" t="s">
        <v>830</v>
      </c>
      <c r="B382" s="2" t="s">
        <v>609</v>
      </c>
      <c r="C382" s="2" t="s">
        <v>609</v>
      </c>
      <c r="D382" s="2" t="s">
        <v>39</v>
      </c>
      <c r="E382" s="2" t="s">
        <v>835</v>
      </c>
      <c r="F382" s="2" t="s">
        <v>836</v>
      </c>
      <c r="G382" s="2" t="s">
        <v>393</v>
      </c>
      <c r="H382" s="2" t="n">
        <v>3.141</v>
      </c>
      <c r="I382" s="2" t="n">
        <v>1950</v>
      </c>
      <c r="J382" s="2" t="n">
        <v>3.141</v>
      </c>
      <c r="K382" s="2" t="n">
        <v>0.033</v>
      </c>
      <c r="L382" s="2"/>
      <c r="M382" s="2"/>
      <c r="N382" s="2"/>
      <c r="O382" s="2"/>
      <c r="P382" s="2"/>
      <c r="Q382" s="2" t="s">
        <v>71</v>
      </c>
      <c r="R382" s="2" t="s">
        <v>700</v>
      </c>
      <c r="S382" s="2"/>
      <c r="T382" s="2" t="s">
        <v>594</v>
      </c>
      <c r="U382" s="2" t="n">
        <v>3.141</v>
      </c>
      <c r="V382" s="2" t="s">
        <v>71</v>
      </c>
    </row>
    <row r="383" customFormat="false" ht="15" hidden="false" customHeight="false" outlineLevel="0" collapsed="false">
      <c r="A383" s="2" t="s">
        <v>830</v>
      </c>
      <c r="B383" s="2" t="s">
        <v>610</v>
      </c>
      <c r="C383" s="2" t="s">
        <v>610</v>
      </c>
      <c r="D383" s="2" t="s">
        <v>39</v>
      </c>
      <c r="E383" s="2" t="s">
        <v>835</v>
      </c>
      <c r="F383" s="2" t="s">
        <v>836</v>
      </c>
      <c r="G383" s="2" t="s">
        <v>393</v>
      </c>
      <c r="H383" s="2" t="n">
        <v>3.151</v>
      </c>
      <c r="I383" s="2" t="n">
        <v>1950</v>
      </c>
      <c r="J383" s="2" t="n">
        <v>3.151</v>
      </c>
      <c r="K383" s="2" t="n">
        <v>0.009</v>
      </c>
      <c r="L383" s="2"/>
      <c r="M383" s="2"/>
      <c r="N383" s="2"/>
      <c r="O383" s="2"/>
      <c r="P383" s="2"/>
      <c r="Q383" s="2" t="s">
        <v>71</v>
      </c>
      <c r="R383" s="2" t="s">
        <v>700</v>
      </c>
      <c r="S383" s="2"/>
      <c r="T383" s="2" t="s">
        <v>594</v>
      </c>
      <c r="U383" s="2" t="n">
        <v>3.151</v>
      </c>
      <c r="V383" s="2" t="s">
        <v>71</v>
      </c>
    </row>
    <row r="384" customFormat="false" ht="15" hidden="false" customHeight="false" outlineLevel="0" collapsed="false">
      <c r="A384" s="2" t="s">
        <v>830</v>
      </c>
      <c r="B384" s="2" t="s">
        <v>611</v>
      </c>
      <c r="C384" s="2" t="s">
        <v>611</v>
      </c>
      <c r="D384" s="2" t="s">
        <v>39</v>
      </c>
      <c r="E384" s="2" t="s">
        <v>835</v>
      </c>
      <c r="F384" s="2" t="s">
        <v>836</v>
      </c>
      <c r="G384" s="2" t="s">
        <v>393</v>
      </c>
      <c r="H384" s="2" t="n">
        <v>3.153</v>
      </c>
      <c r="I384" s="2" t="n">
        <v>1950</v>
      </c>
      <c r="J384" s="2" t="n">
        <v>3.153</v>
      </c>
      <c r="K384" s="2" t="n">
        <v>0.007</v>
      </c>
      <c r="L384" s="2"/>
      <c r="M384" s="2"/>
      <c r="N384" s="2"/>
      <c r="O384" s="2"/>
      <c r="P384" s="2"/>
      <c r="Q384" s="2" t="s">
        <v>71</v>
      </c>
      <c r="R384" s="2" t="s">
        <v>700</v>
      </c>
      <c r="S384" s="2"/>
      <c r="T384" s="2" t="s">
        <v>594</v>
      </c>
      <c r="U384" s="2" t="n">
        <v>3.153</v>
      </c>
      <c r="V384" s="2" t="s">
        <v>71</v>
      </c>
    </row>
    <row r="385" customFormat="false" ht="15" hidden="false" customHeight="false" outlineLevel="0" collapsed="false">
      <c r="A385" s="2" t="s">
        <v>830</v>
      </c>
      <c r="B385" s="2" t="s">
        <v>612</v>
      </c>
      <c r="C385" s="2" t="s">
        <v>612</v>
      </c>
      <c r="D385" s="2" t="s">
        <v>39</v>
      </c>
      <c r="E385" s="2" t="s">
        <v>835</v>
      </c>
      <c r="F385" s="2" t="s">
        <v>836</v>
      </c>
      <c r="G385" s="2" t="s">
        <v>393</v>
      </c>
      <c r="H385" s="2" t="n">
        <v>3.372</v>
      </c>
      <c r="I385" s="2" t="n">
        <v>1950</v>
      </c>
      <c r="J385" s="2" t="n">
        <v>3.372</v>
      </c>
      <c r="K385" s="2" t="n">
        <v>0.012</v>
      </c>
      <c r="L385" s="2"/>
      <c r="M385" s="2"/>
      <c r="N385" s="2"/>
      <c r="O385" s="2"/>
      <c r="P385" s="2"/>
      <c r="Q385" s="2" t="s">
        <v>71</v>
      </c>
      <c r="R385" s="2" t="s">
        <v>700</v>
      </c>
      <c r="S385" s="2"/>
      <c r="T385" s="2" t="s">
        <v>594</v>
      </c>
      <c r="U385" s="2" t="n">
        <v>3.372</v>
      </c>
      <c r="V385" s="2" t="s">
        <v>71</v>
      </c>
    </row>
    <row r="386" customFormat="false" ht="15" hidden="false" customHeight="false" outlineLevel="0" collapsed="false">
      <c r="A386" s="2" t="s">
        <v>830</v>
      </c>
      <c r="B386" s="2" t="s">
        <v>613</v>
      </c>
      <c r="C386" s="2" t="s">
        <v>613</v>
      </c>
      <c r="D386" s="2" t="s">
        <v>39</v>
      </c>
      <c r="E386" s="2" t="s">
        <v>835</v>
      </c>
      <c r="F386" s="2" t="s">
        <v>836</v>
      </c>
      <c r="G386" s="2" t="s">
        <v>393</v>
      </c>
      <c r="H386" s="2" t="n">
        <v>2.342</v>
      </c>
      <c r="I386" s="2" t="n">
        <v>1950</v>
      </c>
      <c r="J386" s="2" t="n">
        <v>2.342</v>
      </c>
      <c r="K386" s="2" t="n">
        <v>0.004</v>
      </c>
      <c r="L386" s="2"/>
      <c r="M386" s="2"/>
      <c r="N386" s="2"/>
      <c r="O386" s="2"/>
      <c r="P386" s="2"/>
      <c r="Q386" s="2" t="s">
        <v>71</v>
      </c>
      <c r="R386" s="2" t="s">
        <v>700</v>
      </c>
      <c r="S386" s="2"/>
      <c r="T386" s="2" t="s">
        <v>594</v>
      </c>
      <c r="U386" s="2" t="n">
        <v>2.342</v>
      </c>
      <c r="V386" s="2" t="s">
        <v>71</v>
      </c>
    </row>
    <row r="387" customFormat="false" ht="15" hidden="false" customHeight="false" outlineLevel="0" collapsed="false">
      <c r="A387" s="2" t="s">
        <v>830</v>
      </c>
      <c r="B387" s="2" t="s">
        <v>614</v>
      </c>
      <c r="C387" s="2" t="s">
        <v>614</v>
      </c>
      <c r="D387" s="2" t="s">
        <v>39</v>
      </c>
      <c r="E387" s="2" t="s">
        <v>835</v>
      </c>
      <c r="F387" s="2" t="s">
        <v>836</v>
      </c>
      <c r="G387" s="2" t="s">
        <v>393</v>
      </c>
      <c r="H387" s="2" t="n">
        <v>2.319</v>
      </c>
      <c r="I387" s="2" t="n">
        <v>1950</v>
      </c>
      <c r="J387" s="2" t="n">
        <v>2.319</v>
      </c>
      <c r="K387" s="2" t="n">
        <v>0.007</v>
      </c>
      <c r="L387" s="2"/>
      <c r="M387" s="2"/>
      <c r="N387" s="2"/>
      <c r="O387" s="2"/>
      <c r="P387" s="2"/>
      <c r="Q387" s="2" t="s">
        <v>71</v>
      </c>
      <c r="R387" s="2" t="s">
        <v>700</v>
      </c>
      <c r="S387" s="2"/>
      <c r="T387" s="2" t="s">
        <v>594</v>
      </c>
      <c r="U387" s="2" t="n">
        <v>2.319</v>
      </c>
      <c r="V387" s="2" t="s">
        <v>71</v>
      </c>
    </row>
    <row r="388" customFormat="false" ht="15" hidden="false" customHeight="false" outlineLevel="0" collapsed="false">
      <c r="A388" s="2" t="s">
        <v>830</v>
      </c>
      <c r="B388" s="2" t="s">
        <v>615</v>
      </c>
      <c r="C388" s="2" t="s">
        <v>615</v>
      </c>
      <c r="D388" s="2" t="s">
        <v>39</v>
      </c>
      <c r="E388" s="2" t="s">
        <v>835</v>
      </c>
      <c r="F388" s="2" t="s">
        <v>836</v>
      </c>
      <c r="G388" s="2" t="s">
        <v>393</v>
      </c>
      <c r="H388" s="2" t="n">
        <v>1.96</v>
      </c>
      <c r="I388" s="2" t="n">
        <v>1950</v>
      </c>
      <c r="J388" s="2" t="n">
        <v>1.96</v>
      </c>
      <c r="K388" s="2" t="n">
        <v>0.004</v>
      </c>
      <c r="L388" s="2"/>
      <c r="M388" s="2"/>
      <c r="N388" s="2"/>
      <c r="O388" s="2"/>
      <c r="P388" s="2"/>
      <c r="Q388" s="2" t="s">
        <v>71</v>
      </c>
      <c r="R388" s="2" t="s">
        <v>700</v>
      </c>
      <c r="S388" s="2"/>
      <c r="T388" s="2" t="s">
        <v>594</v>
      </c>
      <c r="U388" s="2" t="n">
        <v>1.96</v>
      </c>
      <c r="V388" s="2" t="s">
        <v>71</v>
      </c>
    </row>
    <row r="389" customFormat="false" ht="15" hidden="false" customHeight="false" outlineLevel="0" collapsed="false">
      <c r="A389" s="2" t="s">
        <v>830</v>
      </c>
      <c r="B389" s="2" t="s">
        <v>616</v>
      </c>
      <c r="C389" s="2" t="s">
        <v>616</v>
      </c>
      <c r="D389" s="2" t="s">
        <v>39</v>
      </c>
      <c r="E389" s="2" t="s">
        <v>837</v>
      </c>
      <c r="F389" s="2" t="s">
        <v>838</v>
      </c>
      <c r="G389" s="2" t="s">
        <v>393</v>
      </c>
      <c r="H389" s="2" t="n">
        <v>2.617</v>
      </c>
      <c r="I389" s="2" t="n">
        <v>1950</v>
      </c>
      <c r="J389" s="2" t="n">
        <v>2.617</v>
      </c>
      <c r="K389" s="2" t="n">
        <v>0.007</v>
      </c>
      <c r="L389" s="2"/>
      <c r="M389" s="2"/>
      <c r="N389" s="2"/>
      <c r="O389" s="2"/>
      <c r="P389" s="2"/>
      <c r="Q389" s="2" t="s">
        <v>71</v>
      </c>
      <c r="R389" s="2" t="s">
        <v>700</v>
      </c>
      <c r="S389" s="2"/>
      <c r="T389" s="2" t="s">
        <v>618</v>
      </c>
      <c r="U389" s="2" t="n">
        <v>2.617</v>
      </c>
      <c r="V389" s="2" t="s">
        <v>71</v>
      </c>
    </row>
    <row r="390" customFormat="false" ht="15" hidden="false" customHeight="false" outlineLevel="0" collapsed="false">
      <c r="A390" s="2" t="s">
        <v>830</v>
      </c>
      <c r="B390" s="2" t="s">
        <v>620</v>
      </c>
      <c r="C390" s="2" t="s">
        <v>620</v>
      </c>
      <c r="D390" s="2" t="s">
        <v>39</v>
      </c>
      <c r="E390" s="2" t="s">
        <v>837</v>
      </c>
      <c r="F390" s="2" t="s">
        <v>838</v>
      </c>
      <c r="G390" s="2" t="s">
        <v>393</v>
      </c>
      <c r="H390" s="2" t="n">
        <v>3.676</v>
      </c>
      <c r="I390" s="2" t="n">
        <v>1950</v>
      </c>
      <c r="J390" s="2" t="n">
        <v>3.676</v>
      </c>
      <c r="K390" s="2" t="n">
        <v>0.007</v>
      </c>
      <c r="L390" s="2"/>
      <c r="M390" s="2"/>
      <c r="N390" s="2"/>
      <c r="O390" s="2"/>
      <c r="P390" s="2"/>
      <c r="Q390" s="2" t="s">
        <v>71</v>
      </c>
      <c r="R390" s="2" t="s">
        <v>700</v>
      </c>
      <c r="S390" s="2"/>
      <c r="T390" s="2" t="s">
        <v>618</v>
      </c>
      <c r="U390" s="2" t="n">
        <v>3.676</v>
      </c>
      <c r="V390" s="2" t="s">
        <v>71</v>
      </c>
    </row>
    <row r="391" customFormat="false" ht="15" hidden="false" customHeight="false" outlineLevel="0" collapsed="false">
      <c r="A391" s="2" t="s">
        <v>830</v>
      </c>
      <c r="B391" s="2" t="s">
        <v>622</v>
      </c>
      <c r="C391" s="2" t="s">
        <v>622</v>
      </c>
      <c r="D391" s="2" t="s">
        <v>39</v>
      </c>
      <c r="E391" s="2" t="s">
        <v>837</v>
      </c>
      <c r="F391" s="2" t="s">
        <v>838</v>
      </c>
      <c r="G391" s="2" t="s">
        <v>393</v>
      </c>
      <c r="H391" s="2" t="n">
        <v>3.745</v>
      </c>
      <c r="I391" s="2" t="n">
        <v>1950</v>
      </c>
      <c r="J391" s="2" t="n">
        <v>3.745</v>
      </c>
      <c r="K391" s="2" t="n">
        <v>0.006</v>
      </c>
      <c r="L391" s="2"/>
      <c r="M391" s="2"/>
      <c r="N391" s="2"/>
      <c r="O391" s="2"/>
      <c r="P391" s="2"/>
      <c r="Q391" s="2" t="s">
        <v>71</v>
      </c>
      <c r="R391" s="2" t="s">
        <v>700</v>
      </c>
      <c r="S391" s="2"/>
      <c r="T391" s="2" t="s">
        <v>618</v>
      </c>
      <c r="U391" s="2" t="n">
        <v>3.745</v>
      </c>
      <c r="V391" s="2" t="s">
        <v>71</v>
      </c>
    </row>
    <row r="392" customFormat="false" ht="15" hidden="false" customHeight="false" outlineLevel="0" collapsed="false">
      <c r="A392" s="2" t="s">
        <v>830</v>
      </c>
      <c r="B392" s="2" t="s">
        <v>623</v>
      </c>
      <c r="C392" s="2" t="s">
        <v>623</v>
      </c>
      <c r="D392" s="2" t="s">
        <v>39</v>
      </c>
      <c r="E392" s="2" t="s">
        <v>837</v>
      </c>
      <c r="F392" s="2" t="s">
        <v>838</v>
      </c>
      <c r="G392" s="2" t="s">
        <v>393</v>
      </c>
      <c r="H392" s="2" t="n">
        <v>4.042</v>
      </c>
      <c r="I392" s="2" t="n">
        <v>1950</v>
      </c>
      <c r="J392" s="2" t="n">
        <v>4.042</v>
      </c>
      <c r="K392" s="2" t="n">
        <v>0.018</v>
      </c>
      <c r="L392" s="2"/>
      <c r="M392" s="2"/>
      <c r="N392" s="2"/>
      <c r="O392" s="2"/>
      <c r="P392" s="2"/>
      <c r="Q392" s="2" t="s">
        <v>71</v>
      </c>
      <c r="R392" s="2" t="s">
        <v>700</v>
      </c>
      <c r="S392" s="2"/>
      <c r="T392" s="2" t="s">
        <v>618</v>
      </c>
      <c r="U392" s="2" t="n">
        <v>4.042</v>
      </c>
      <c r="V392" s="2" t="s">
        <v>71</v>
      </c>
    </row>
    <row r="393" customFormat="false" ht="15" hidden="false" customHeight="false" outlineLevel="0" collapsed="false">
      <c r="A393" s="2" t="s">
        <v>830</v>
      </c>
      <c r="B393" s="2" t="s">
        <v>624</v>
      </c>
      <c r="C393" s="2" t="s">
        <v>624</v>
      </c>
      <c r="D393" s="2" t="s">
        <v>39</v>
      </c>
      <c r="E393" s="2" t="s">
        <v>837</v>
      </c>
      <c r="F393" s="2" t="s">
        <v>838</v>
      </c>
      <c r="G393" s="2" t="s">
        <v>393</v>
      </c>
      <c r="H393" s="2" t="n">
        <v>4.141</v>
      </c>
      <c r="I393" s="2" t="n">
        <v>1950</v>
      </c>
      <c r="J393" s="2" t="n">
        <v>4.141</v>
      </c>
      <c r="K393" s="2" t="n">
        <v>0.007</v>
      </c>
      <c r="L393" s="2"/>
      <c r="M393" s="2"/>
      <c r="N393" s="2"/>
      <c r="O393" s="2"/>
      <c r="P393" s="2"/>
      <c r="Q393" s="2" t="s">
        <v>71</v>
      </c>
      <c r="R393" s="2" t="s">
        <v>700</v>
      </c>
      <c r="S393" s="2"/>
      <c r="T393" s="2" t="s">
        <v>618</v>
      </c>
      <c r="U393" s="2" t="n">
        <v>4.141</v>
      </c>
      <c r="V393" s="2" t="s">
        <v>71</v>
      </c>
    </row>
    <row r="394" customFormat="false" ht="15" hidden="false" customHeight="false" outlineLevel="0" collapsed="false">
      <c r="A394" s="2" t="s">
        <v>830</v>
      </c>
      <c r="B394" s="2" t="s">
        <v>625</v>
      </c>
      <c r="C394" s="2" t="s">
        <v>625</v>
      </c>
      <c r="D394" s="2" t="s">
        <v>39</v>
      </c>
      <c r="E394" s="2" t="s">
        <v>837</v>
      </c>
      <c r="F394" s="2" t="s">
        <v>838</v>
      </c>
      <c r="G394" s="2" t="s">
        <v>393</v>
      </c>
      <c r="H394" s="2" t="n">
        <v>4.255</v>
      </c>
      <c r="I394" s="2" t="n">
        <v>1950</v>
      </c>
      <c r="J394" s="2" t="n">
        <v>4.255</v>
      </c>
      <c r="K394" s="2" t="n">
        <v>0.023</v>
      </c>
      <c r="L394" s="2"/>
      <c r="M394" s="2"/>
      <c r="N394" s="2"/>
      <c r="O394" s="2"/>
      <c r="P394" s="2"/>
      <c r="Q394" s="2" t="s">
        <v>71</v>
      </c>
      <c r="R394" s="2" t="s">
        <v>700</v>
      </c>
      <c r="S394" s="2"/>
      <c r="T394" s="2" t="s">
        <v>618</v>
      </c>
      <c r="U394" s="2" t="n">
        <v>4.255</v>
      </c>
      <c r="V394" s="2" t="s">
        <v>71</v>
      </c>
    </row>
    <row r="395" customFormat="false" ht="15" hidden="false" customHeight="false" outlineLevel="0" collapsed="false">
      <c r="A395" s="2" t="s">
        <v>830</v>
      </c>
      <c r="B395" s="2" t="s">
        <v>626</v>
      </c>
      <c r="C395" s="2" t="s">
        <v>626</v>
      </c>
      <c r="D395" s="2" t="s">
        <v>39</v>
      </c>
      <c r="E395" s="2" t="s">
        <v>837</v>
      </c>
      <c r="F395" s="2" t="s">
        <v>838</v>
      </c>
      <c r="G395" s="2" t="s">
        <v>393</v>
      </c>
      <c r="H395" s="2" t="n">
        <v>4.175</v>
      </c>
      <c r="I395" s="2" t="n">
        <v>1950</v>
      </c>
      <c r="J395" s="2" t="n">
        <v>4.175</v>
      </c>
      <c r="K395" s="2" t="n">
        <v>0.007</v>
      </c>
      <c r="L395" s="2"/>
      <c r="M395" s="2"/>
      <c r="N395" s="2"/>
      <c r="O395" s="2"/>
      <c r="P395" s="2"/>
      <c r="Q395" s="2" t="s">
        <v>71</v>
      </c>
      <c r="R395" s="2" t="s">
        <v>700</v>
      </c>
      <c r="S395" s="2"/>
      <c r="T395" s="2" t="s">
        <v>618</v>
      </c>
      <c r="U395" s="2" t="n">
        <v>4.175</v>
      </c>
      <c r="V395" s="2" t="s">
        <v>71</v>
      </c>
    </row>
    <row r="396" customFormat="false" ht="15" hidden="false" customHeight="false" outlineLevel="0" collapsed="false">
      <c r="A396" s="2" t="s">
        <v>830</v>
      </c>
      <c r="B396" s="2" t="s">
        <v>627</v>
      </c>
      <c r="C396" s="2" t="s">
        <v>627</v>
      </c>
      <c r="D396" s="2" t="s">
        <v>39</v>
      </c>
      <c r="E396" s="2" t="s">
        <v>837</v>
      </c>
      <c r="F396" s="2" t="s">
        <v>838</v>
      </c>
      <c r="G396" s="2" t="s">
        <v>393</v>
      </c>
      <c r="H396" s="2" t="n">
        <v>4.147</v>
      </c>
      <c r="I396" s="2" t="n">
        <v>1950</v>
      </c>
      <c r="J396" s="2" t="n">
        <v>4.147</v>
      </c>
      <c r="K396" s="2" t="n">
        <v>0.007</v>
      </c>
      <c r="L396" s="2"/>
      <c r="M396" s="2"/>
      <c r="N396" s="2"/>
      <c r="O396" s="2"/>
      <c r="P396" s="2"/>
      <c r="Q396" s="2" t="s">
        <v>71</v>
      </c>
      <c r="R396" s="2" t="s">
        <v>700</v>
      </c>
      <c r="S396" s="2"/>
      <c r="T396" s="2" t="s">
        <v>618</v>
      </c>
      <c r="U396" s="2" t="n">
        <v>4.147</v>
      </c>
      <c r="V396" s="2" t="s">
        <v>71</v>
      </c>
    </row>
    <row r="397" customFormat="false" ht="15" hidden="false" customHeight="false" outlineLevel="0" collapsed="false">
      <c r="A397" s="2" t="s">
        <v>830</v>
      </c>
      <c r="B397" s="2" t="s">
        <v>628</v>
      </c>
      <c r="C397" s="2" t="s">
        <v>628</v>
      </c>
      <c r="D397" s="2" t="s">
        <v>39</v>
      </c>
      <c r="E397" s="2" t="s">
        <v>837</v>
      </c>
      <c r="F397" s="2" t="s">
        <v>838</v>
      </c>
      <c r="G397" s="2" t="s">
        <v>393</v>
      </c>
      <c r="H397" s="2" t="n">
        <v>1.017</v>
      </c>
      <c r="I397" s="2" t="n">
        <v>1950</v>
      </c>
      <c r="J397" s="2" t="n">
        <v>1.017</v>
      </c>
      <c r="K397" s="2" t="n">
        <v>0.004</v>
      </c>
      <c r="L397" s="2"/>
      <c r="M397" s="2"/>
      <c r="N397" s="2"/>
      <c r="O397" s="2"/>
      <c r="P397" s="2"/>
      <c r="Q397" s="2" t="s">
        <v>71</v>
      </c>
      <c r="R397" s="2" t="s">
        <v>700</v>
      </c>
      <c r="S397" s="2"/>
      <c r="T397" s="2" t="s">
        <v>618</v>
      </c>
      <c r="U397" s="2" t="n">
        <v>1.017</v>
      </c>
      <c r="V397" s="2" t="s">
        <v>71</v>
      </c>
    </row>
    <row r="398" customFormat="false" ht="15" hidden="false" customHeight="false" outlineLevel="0" collapsed="false">
      <c r="A398" s="2" t="s">
        <v>830</v>
      </c>
      <c r="B398" s="2" t="s">
        <v>630</v>
      </c>
      <c r="C398" s="2" t="s">
        <v>630</v>
      </c>
      <c r="D398" s="2" t="s">
        <v>39</v>
      </c>
      <c r="E398" s="2" t="s">
        <v>837</v>
      </c>
      <c r="F398" s="2" t="s">
        <v>838</v>
      </c>
      <c r="G398" s="2" t="s">
        <v>393</v>
      </c>
      <c r="H398" s="2" t="n">
        <v>4.162</v>
      </c>
      <c r="I398" s="2" t="n">
        <v>1950</v>
      </c>
      <c r="J398" s="2" t="n">
        <v>4.162</v>
      </c>
      <c r="K398" s="2" t="n">
        <v>0.012</v>
      </c>
      <c r="L398" s="2"/>
      <c r="M398" s="2"/>
      <c r="N398" s="2"/>
      <c r="O398" s="2"/>
      <c r="P398" s="2"/>
      <c r="Q398" s="2" t="s">
        <v>71</v>
      </c>
      <c r="R398" s="2" t="s">
        <v>700</v>
      </c>
      <c r="S398" s="2"/>
      <c r="T398" s="2" t="s">
        <v>618</v>
      </c>
      <c r="U398" s="2" t="n">
        <v>4.162</v>
      </c>
      <c r="V398" s="2" t="s">
        <v>71</v>
      </c>
    </row>
    <row r="399" customFormat="false" ht="15" hidden="false" customHeight="false" outlineLevel="0" collapsed="false">
      <c r="A399" s="2" t="s">
        <v>830</v>
      </c>
      <c r="B399" s="2" t="s">
        <v>632</v>
      </c>
      <c r="C399" s="2" t="s">
        <v>632</v>
      </c>
      <c r="D399" s="2" t="s">
        <v>39</v>
      </c>
      <c r="E399" s="2" t="s">
        <v>837</v>
      </c>
      <c r="F399" s="2" t="s">
        <v>838</v>
      </c>
      <c r="G399" s="2" t="s">
        <v>257</v>
      </c>
      <c r="H399" s="2" t="n">
        <v>4.289</v>
      </c>
      <c r="I399" s="2" t="n">
        <v>1950</v>
      </c>
      <c r="J399" s="2" t="n">
        <v>4.289</v>
      </c>
      <c r="K399" s="2" t="n">
        <v>0.18</v>
      </c>
      <c r="L399" s="2" t="n">
        <v>4140</v>
      </c>
      <c r="M399" s="2" t="n">
        <v>30</v>
      </c>
      <c r="N399" s="2" t="n">
        <v>-204.33</v>
      </c>
      <c r="O399" s="2" t="n">
        <v>18.72</v>
      </c>
      <c r="P399" s="2" t="s">
        <v>704</v>
      </c>
      <c r="Q399" s="2" t="s">
        <v>71</v>
      </c>
      <c r="R399" s="2" t="s">
        <v>700</v>
      </c>
      <c r="S399" s="2"/>
      <c r="T399" s="2" t="s">
        <v>618</v>
      </c>
      <c r="U399" s="2" t="n">
        <v>4.289</v>
      </c>
      <c r="V399" s="2" t="s">
        <v>71</v>
      </c>
    </row>
    <row r="400" customFormat="false" ht="15" hidden="false" customHeight="false" outlineLevel="0" collapsed="false">
      <c r="A400" s="2" t="s">
        <v>830</v>
      </c>
      <c r="B400" s="2" t="s">
        <v>634</v>
      </c>
      <c r="C400" s="2" t="s">
        <v>634</v>
      </c>
      <c r="D400" s="2" t="s">
        <v>39</v>
      </c>
      <c r="E400" s="2" t="s">
        <v>837</v>
      </c>
      <c r="F400" s="2" t="s">
        <v>838</v>
      </c>
      <c r="G400" s="2" t="s">
        <v>257</v>
      </c>
      <c r="H400" s="2" t="n">
        <v>4.216</v>
      </c>
      <c r="I400" s="2" t="n">
        <v>1950</v>
      </c>
      <c r="J400" s="2" t="n">
        <v>4.216</v>
      </c>
      <c r="K400" s="2" t="n">
        <v>0.1705</v>
      </c>
      <c r="L400" s="2" t="n">
        <v>4090</v>
      </c>
      <c r="M400" s="2" t="n">
        <v>20</v>
      </c>
      <c r="N400" s="2" t="n">
        <v>-198.58</v>
      </c>
      <c r="O400" s="2" t="n">
        <v>18.39</v>
      </c>
      <c r="P400" s="2" t="s">
        <v>704</v>
      </c>
      <c r="Q400" s="2" t="s">
        <v>71</v>
      </c>
      <c r="R400" s="2" t="s">
        <v>700</v>
      </c>
      <c r="S400" s="2"/>
      <c r="T400" s="2" t="s">
        <v>618</v>
      </c>
      <c r="U400" s="2" t="n">
        <v>4.216</v>
      </c>
      <c r="V400" s="2" t="s">
        <v>71</v>
      </c>
    </row>
    <row r="401" customFormat="false" ht="15" hidden="false" customHeight="false" outlineLevel="0" collapsed="false">
      <c r="A401" s="2" t="s">
        <v>830</v>
      </c>
      <c r="B401" s="2" t="s">
        <v>635</v>
      </c>
      <c r="C401" s="2" t="s">
        <v>635</v>
      </c>
      <c r="D401" s="2" t="s">
        <v>39</v>
      </c>
      <c r="E401" s="2" t="s">
        <v>837</v>
      </c>
      <c r="F401" s="2" t="s">
        <v>838</v>
      </c>
      <c r="G401" s="2" t="s">
        <v>257</v>
      </c>
      <c r="H401" s="2" t="n">
        <v>4.396</v>
      </c>
      <c r="I401" s="2" t="n">
        <v>1950</v>
      </c>
      <c r="J401" s="2" t="n">
        <v>4.396</v>
      </c>
      <c r="K401" s="2" t="n">
        <v>0.1765</v>
      </c>
      <c r="L401" s="2" t="n">
        <v>4215</v>
      </c>
      <c r="M401" s="2" t="n">
        <v>25</v>
      </c>
      <c r="N401" s="2" t="n">
        <v>-211.79</v>
      </c>
      <c r="O401" s="2" t="n">
        <v>19.17</v>
      </c>
      <c r="P401" s="2" t="s">
        <v>704</v>
      </c>
      <c r="Q401" s="2" t="s">
        <v>71</v>
      </c>
      <c r="R401" s="2" t="s">
        <v>700</v>
      </c>
      <c r="S401" s="2"/>
      <c r="T401" s="2" t="s">
        <v>618</v>
      </c>
      <c r="U401" s="2" t="n">
        <v>4.396</v>
      </c>
      <c r="V401" s="2" t="s">
        <v>71</v>
      </c>
    </row>
    <row r="402" customFormat="false" ht="15" hidden="false" customHeight="false" outlineLevel="0" collapsed="false">
      <c r="A402" s="2" t="s">
        <v>830</v>
      </c>
      <c r="B402" s="2" t="s">
        <v>636</v>
      </c>
      <c r="C402" s="2" t="s">
        <v>636</v>
      </c>
      <c r="D402" s="2" t="s">
        <v>39</v>
      </c>
      <c r="E402" s="2" t="s">
        <v>837</v>
      </c>
      <c r="F402" s="2" t="s">
        <v>838</v>
      </c>
      <c r="G402" s="2" t="s">
        <v>257</v>
      </c>
      <c r="H402" s="2" t="n">
        <v>4.232</v>
      </c>
      <c r="I402" s="2" t="n">
        <v>1950</v>
      </c>
      <c r="J402" s="2" t="n">
        <v>4.232</v>
      </c>
      <c r="K402" s="2" t="n">
        <v>0.1665</v>
      </c>
      <c r="L402" s="2" t="n">
        <v>4100</v>
      </c>
      <c r="M402" s="2" t="n">
        <v>20</v>
      </c>
      <c r="N402" s="2" t="n">
        <v>-199.77</v>
      </c>
      <c r="O402" s="2" t="n">
        <v>18.46</v>
      </c>
      <c r="P402" s="2" t="s">
        <v>704</v>
      </c>
      <c r="Q402" s="2" t="s">
        <v>71</v>
      </c>
      <c r="R402" s="2" t="s">
        <v>700</v>
      </c>
      <c r="S402" s="2"/>
      <c r="T402" s="2" t="s">
        <v>618</v>
      </c>
      <c r="U402" s="2" t="n">
        <v>4.232</v>
      </c>
      <c r="V402" s="2" t="s">
        <v>71</v>
      </c>
    </row>
    <row r="403" customFormat="false" ht="15" hidden="false" customHeight="false" outlineLevel="0" collapsed="false">
      <c r="A403" s="2" t="s">
        <v>830</v>
      </c>
      <c r="B403" s="2" t="s">
        <v>637</v>
      </c>
      <c r="C403" s="2" t="s">
        <v>637</v>
      </c>
      <c r="D403" s="2" t="s">
        <v>39</v>
      </c>
      <c r="E403" s="2" t="s">
        <v>837</v>
      </c>
      <c r="F403" s="2" t="s">
        <v>838</v>
      </c>
      <c r="G403" s="2" t="s">
        <v>257</v>
      </c>
      <c r="H403" s="2" t="n">
        <v>4.317</v>
      </c>
      <c r="I403" s="2" t="n">
        <v>1950</v>
      </c>
      <c r="J403" s="2" t="n">
        <v>4.317</v>
      </c>
      <c r="K403" s="2" t="n">
        <v>0.1705</v>
      </c>
      <c r="L403" s="2" t="n">
        <v>4160</v>
      </c>
      <c r="M403" s="2" t="n">
        <v>20</v>
      </c>
      <c r="N403" s="2" t="n">
        <v>-206.46</v>
      </c>
      <c r="O403" s="2" t="n">
        <v>18.84</v>
      </c>
      <c r="P403" s="2" t="s">
        <v>704</v>
      </c>
      <c r="Q403" s="2" t="s">
        <v>71</v>
      </c>
      <c r="R403" s="2" t="s">
        <v>700</v>
      </c>
      <c r="S403" s="2"/>
      <c r="T403" s="2" t="s">
        <v>618</v>
      </c>
      <c r="U403" s="2" t="n">
        <v>4.317</v>
      </c>
      <c r="V403" s="2" t="s">
        <v>71</v>
      </c>
    </row>
    <row r="404" customFormat="false" ht="15" hidden="false" customHeight="false" outlineLevel="0" collapsed="false">
      <c r="A404" s="2" t="s">
        <v>830</v>
      </c>
      <c r="B404" s="2" t="s">
        <v>638</v>
      </c>
      <c r="C404" s="2" t="s">
        <v>638</v>
      </c>
      <c r="D404" s="2" t="s">
        <v>39</v>
      </c>
      <c r="E404" s="2" t="s">
        <v>837</v>
      </c>
      <c r="F404" s="2" t="s">
        <v>838</v>
      </c>
      <c r="G404" s="2" t="s">
        <v>257</v>
      </c>
      <c r="H404" s="2" t="n">
        <v>4.317</v>
      </c>
      <c r="I404" s="2" t="n">
        <v>1950</v>
      </c>
      <c r="J404" s="2" t="n">
        <v>4.317</v>
      </c>
      <c r="K404" s="2" t="n">
        <v>0.1705</v>
      </c>
      <c r="L404" s="2" t="n">
        <v>4160</v>
      </c>
      <c r="M404" s="2" t="n">
        <v>20</v>
      </c>
      <c r="N404" s="2" t="n">
        <v>-206.46</v>
      </c>
      <c r="O404" s="2" t="n">
        <v>18.84</v>
      </c>
      <c r="P404" s="2" t="s">
        <v>704</v>
      </c>
      <c r="Q404" s="2" t="s">
        <v>71</v>
      </c>
      <c r="R404" s="2" t="s">
        <v>700</v>
      </c>
      <c r="S404" s="2"/>
      <c r="T404" s="2" t="s">
        <v>618</v>
      </c>
      <c r="U404" s="2" t="n">
        <v>4.317</v>
      </c>
      <c r="V404" s="2" t="s">
        <v>71</v>
      </c>
    </row>
    <row r="405" customFormat="false" ht="15" hidden="false" customHeight="false" outlineLevel="0" collapsed="false">
      <c r="A405" s="2" t="s">
        <v>830</v>
      </c>
      <c r="B405" s="2" t="s">
        <v>639</v>
      </c>
      <c r="C405" s="2" t="s">
        <v>639</v>
      </c>
      <c r="D405" s="2" t="s">
        <v>39</v>
      </c>
      <c r="E405" s="2" t="s">
        <v>837</v>
      </c>
      <c r="F405" s="2" t="s">
        <v>838</v>
      </c>
      <c r="G405" s="2" t="s">
        <v>257</v>
      </c>
      <c r="H405" s="2" t="n">
        <v>4.002</v>
      </c>
      <c r="I405" s="2" t="n">
        <v>1950</v>
      </c>
      <c r="J405" s="2" t="n">
        <v>4.002</v>
      </c>
      <c r="K405" s="2" t="n">
        <v>0.166</v>
      </c>
      <c r="L405" s="2" t="n">
        <v>3950</v>
      </c>
      <c r="M405" s="2" t="n">
        <v>20</v>
      </c>
      <c r="N405" s="2" t="n">
        <v>-180.28</v>
      </c>
      <c r="O405" s="2" t="n">
        <v>17.23</v>
      </c>
      <c r="P405" s="2" t="s">
        <v>704</v>
      </c>
      <c r="Q405" s="2" t="s">
        <v>71</v>
      </c>
      <c r="R405" s="2" t="s">
        <v>700</v>
      </c>
      <c r="S405" s="2"/>
      <c r="T405" s="2" t="s">
        <v>618</v>
      </c>
      <c r="U405" s="2" t="n">
        <v>4.002</v>
      </c>
      <c r="V405" s="2" t="s">
        <v>71</v>
      </c>
    </row>
    <row r="406" customFormat="false" ht="15" hidden="false" customHeight="false" outlineLevel="0" collapsed="false">
      <c r="A406" s="2" t="s">
        <v>830</v>
      </c>
      <c r="B406" s="2" t="s">
        <v>640</v>
      </c>
      <c r="C406" s="2" t="s">
        <v>640</v>
      </c>
      <c r="D406" s="2" t="s">
        <v>39</v>
      </c>
      <c r="E406" s="2" t="s">
        <v>837</v>
      </c>
      <c r="F406" s="2" t="s">
        <v>838</v>
      </c>
      <c r="G406" s="2" t="s">
        <v>257</v>
      </c>
      <c r="H406" s="2" t="n">
        <v>4.345</v>
      </c>
      <c r="I406" s="2" t="n">
        <v>1950</v>
      </c>
      <c r="J406" s="2" t="n">
        <v>4.345</v>
      </c>
      <c r="K406" s="2" t="n">
        <v>0.1705</v>
      </c>
      <c r="L406" s="2" t="n">
        <v>4180</v>
      </c>
      <c r="M406" s="2" t="n">
        <v>20</v>
      </c>
      <c r="N406" s="2" t="n">
        <v>-208.49</v>
      </c>
      <c r="O406" s="2" t="n">
        <v>18.96</v>
      </c>
      <c r="P406" s="2" t="s">
        <v>704</v>
      </c>
      <c r="Q406" s="2" t="s">
        <v>71</v>
      </c>
      <c r="R406" s="2" t="s">
        <v>700</v>
      </c>
      <c r="S406" s="2"/>
      <c r="T406" s="2" t="s">
        <v>618</v>
      </c>
      <c r="U406" s="2" t="n">
        <v>4.345</v>
      </c>
      <c r="V406" s="2" t="s">
        <v>71</v>
      </c>
    </row>
    <row r="407" customFormat="false" ht="15" hidden="false" customHeight="false" outlineLevel="0" collapsed="false">
      <c r="A407" s="2" t="s">
        <v>830</v>
      </c>
      <c r="B407" s="2" t="s">
        <v>513</v>
      </c>
      <c r="C407" s="2" t="s">
        <v>513</v>
      </c>
      <c r="D407" s="2" t="s">
        <v>39</v>
      </c>
      <c r="E407" s="2" t="s">
        <v>837</v>
      </c>
      <c r="F407" s="2" t="s">
        <v>838</v>
      </c>
      <c r="G407" s="2" t="s">
        <v>257</v>
      </c>
      <c r="H407" s="2" t="n">
        <v>4.247</v>
      </c>
      <c r="I407" s="2" t="n">
        <v>1950</v>
      </c>
      <c r="J407" s="2" t="n">
        <v>4.247</v>
      </c>
      <c r="K407" s="2" t="n">
        <v>0.1645</v>
      </c>
      <c r="L407" s="2" t="n">
        <v>4110</v>
      </c>
      <c r="M407" s="2" t="n">
        <v>20</v>
      </c>
      <c r="N407" s="2" t="n">
        <v>-200.95</v>
      </c>
      <c r="O407" s="2" t="n">
        <v>18.886833</v>
      </c>
      <c r="P407" s="2" t="s">
        <v>704</v>
      </c>
      <c r="Q407" s="2" t="s">
        <v>71</v>
      </c>
      <c r="R407" s="2" t="s">
        <v>700</v>
      </c>
      <c r="S407" s="2"/>
      <c r="T407" s="2" t="s">
        <v>618</v>
      </c>
      <c r="U407" s="2" t="n">
        <v>4.247</v>
      </c>
      <c r="V407" s="2" t="s">
        <v>71</v>
      </c>
    </row>
    <row r="408" customFormat="false" ht="15" hidden="false" customHeight="false" outlineLevel="0" collapsed="false">
      <c r="A408" s="2" t="s">
        <v>830</v>
      </c>
      <c r="B408" s="2" t="s">
        <v>517</v>
      </c>
      <c r="C408" s="2" t="s">
        <v>517</v>
      </c>
      <c r="D408" s="2" t="s">
        <v>39</v>
      </c>
      <c r="E408" s="2" t="s">
        <v>837</v>
      </c>
      <c r="F408" s="2" t="s">
        <v>838</v>
      </c>
      <c r="G408" s="2" t="s">
        <v>257</v>
      </c>
      <c r="H408" s="2" t="n">
        <v>3.762</v>
      </c>
      <c r="I408" s="2" t="n">
        <v>1950</v>
      </c>
      <c r="J408" s="2" t="n">
        <v>3.762</v>
      </c>
      <c r="K408" s="2" t="n">
        <v>0.163</v>
      </c>
      <c r="L408" s="2" t="n">
        <v>3790</v>
      </c>
      <c r="M408" s="2" t="n">
        <v>20</v>
      </c>
      <c r="N408" s="2" t="n">
        <v>-158.8</v>
      </c>
      <c r="O408" s="2" t="n">
        <v>17.105691</v>
      </c>
      <c r="P408" s="2" t="s">
        <v>704</v>
      </c>
      <c r="Q408" s="2" t="s">
        <v>71</v>
      </c>
      <c r="R408" s="2" t="s">
        <v>700</v>
      </c>
      <c r="S408" s="2"/>
      <c r="T408" s="2" t="s">
        <v>618</v>
      </c>
      <c r="U408" s="2" t="n">
        <v>3.762</v>
      </c>
      <c r="V408" s="2" t="s">
        <v>71</v>
      </c>
    </row>
    <row r="409" customFormat="false" ht="15" hidden="false" customHeight="false" outlineLevel="0" collapsed="false">
      <c r="A409" s="2" t="s">
        <v>830</v>
      </c>
      <c r="B409" s="2" t="s">
        <v>518</v>
      </c>
      <c r="C409" s="2" t="s">
        <v>518</v>
      </c>
      <c r="D409" s="2" t="s">
        <v>39</v>
      </c>
      <c r="E409" s="2" t="s">
        <v>837</v>
      </c>
      <c r="F409" s="2" t="s">
        <v>838</v>
      </c>
      <c r="G409" s="2" t="s">
        <v>257</v>
      </c>
      <c r="H409" s="2" t="n">
        <v>4.503</v>
      </c>
      <c r="I409" s="2" t="n">
        <v>1950</v>
      </c>
      <c r="J409" s="2" t="n">
        <v>4.503</v>
      </c>
      <c r="K409" s="2" t="n">
        <v>0.193</v>
      </c>
      <c r="L409" s="2" t="n">
        <v>4290</v>
      </c>
      <c r="M409" s="2" t="n">
        <v>30</v>
      </c>
      <c r="N409" s="2" t="n">
        <v>-217.95</v>
      </c>
      <c r="O409" s="2" t="n">
        <v>19.56831</v>
      </c>
      <c r="P409" s="2" t="s">
        <v>704</v>
      </c>
      <c r="Q409" s="2" t="s">
        <v>71</v>
      </c>
      <c r="R409" s="2" t="s">
        <v>700</v>
      </c>
      <c r="S409" s="2"/>
      <c r="T409" s="2" t="s">
        <v>618</v>
      </c>
      <c r="U409" s="2" t="n">
        <v>4.503</v>
      </c>
      <c r="V409" s="2" t="s">
        <v>71</v>
      </c>
    </row>
    <row r="410" customFormat="false" ht="15" hidden="false" customHeight="false" outlineLevel="0" collapsed="false">
      <c r="A410" s="2" t="s">
        <v>830</v>
      </c>
      <c r="B410" s="2" t="s">
        <v>641</v>
      </c>
      <c r="C410" s="2" t="s">
        <v>641</v>
      </c>
      <c r="D410" s="2" t="s">
        <v>39</v>
      </c>
      <c r="E410" s="2" t="s">
        <v>837</v>
      </c>
      <c r="F410" s="2" t="s">
        <v>838</v>
      </c>
      <c r="G410" s="2" t="s">
        <v>257</v>
      </c>
      <c r="H410" s="2" t="n">
        <v>4.374</v>
      </c>
      <c r="I410" s="2" t="n">
        <v>1950</v>
      </c>
      <c r="J410" s="2" t="n">
        <v>4.374</v>
      </c>
      <c r="K410" s="2" t="n">
        <v>0.1725</v>
      </c>
      <c r="L410" s="2" t="n">
        <v>4200</v>
      </c>
      <c r="M410" s="2" t="n">
        <v>20</v>
      </c>
      <c r="N410" s="2" t="n">
        <v>-210.41</v>
      </c>
      <c r="O410" s="2" t="n">
        <v>19.08</v>
      </c>
      <c r="P410" s="2" t="s">
        <v>704</v>
      </c>
      <c r="Q410" s="2" t="s">
        <v>71</v>
      </c>
      <c r="R410" s="2" t="s">
        <v>700</v>
      </c>
      <c r="S410" s="2"/>
      <c r="T410" s="2" t="s">
        <v>618</v>
      </c>
      <c r="U410" s="2" t="n">
        <v>4.374</v>
      </c>
      <c r="V410" s="2" t="s">
        <v>71</v>
      </c>
    </row>
    <row r="411" customFormat="false" ht="15" hidden="false" customHeight="false" outlineLevel="0" collapsed="false">
      <c r="A411" s="2" t="s">
        <v>830</v>
      </c>
      <c r="B411" s="2" t="s">
        <v>643</v>
      </c>
      <c r="C411" s="2" t="s">
        <v>643</v>
      </c>
      <c r="D411" s="2" t="s">
        <v>39</v>
      </c>
      <c r="E411" s="2" t="s">
        <v>837</v>
      </c>
      <c r="F411" s="2" t="s">
        <v>838</v>
      </c>
      <c r="G411" s="2" t="s">
        <v>257</v>
      </c>
      <c r="H411" s="2" t="n">
        <v>4.345</v>
      </c>
      <c r="I411" s="2" t="n">
        <v>1950</v>
      </c>
      <c r="J411" s="2" t="n">
        <v>4.345</v>
      </c>
      <c r="K411" s="2" t="n">
        <v>0.1705</v>
      </c>
      <c r="L411" s="2" t="n">
        <v>4180</v>
      </c>
      <c r="M411" s="2" t="n">
        <v>20</v>
      </c>
      <c r="N411" s="2" t="n">
        <v>-208.49</v>
      </c>
      <c r="O411" s="2" t="n">
        <v>18.96</v>
      </c>
      <c r="P411" s="2" t="s">
        <v>704</v>
      </c>
      <c r="Q411" s="2" t="s">
        <v>71</v>
      </c>
      <c r="R411" s="2" t="s">
        <v>700</v>
      </c>
      <c r="S411" s="2"/>
      <c r="T411" s="2" t="s">
        <v>618</v>
      </c>
      <c r="U411" s="2" t="n">
        <v>4.345</v>
      </c>
      <c r="V411" s="2" t="s">
        <v>71</v>
      </c>
    </row>
    <row r="412" customFormat="false" ht="15" hidden="false" customHeight="false" outlineLevel="0" collapsed="false">
      <c r="A412" s="2" t="s">
        <v>830</v>
      </c>
      <c r="B412" s="2" t="s">
        <v>644</v>
      </c>
      <c r="C412" s="2" t="s">
        <v>644</v>
      </c>
      <c r="D412" s="2" t="s">
        <v>39</v>
      </c>
      <c r="E412" s="2" t="s">
        <v>837</v>
      </c>
      <c r="F412" s="2" t="s">
        <v>838</v>
      </c>
      <c r="G412" s="2" t="s">
        <v>257</v>
      </c>
      <c r="H412" s="2" t="n">
        <v>2.859</v>
      </c>
      <c r="I412" s="2" t="n">
        <v>1950</v>
      </c>
      <c r="J412" s="2" t="n">
        <v>2.859</v>
      </c>
      <c r="K412" s="2" t="n">
        <v>0.146</v>
      </c>
      <c r="L412" s="2" t="n">
        <v>3100</v>
      </c>
      <c r="M412" s="2" t="n">
        <v>20</v>
      </c>
      <c r="N412" s="2" t="n">
        <v>-119.53</v>
      </c>
      <c r="O412" s="2" t="n">
        <v>24.01</v>
      </c>
      <c r="P412" s="2" t="s">
        <v>704</v>
      </c>
      <c r="Q412" s="2" t="s">
        <v>71</v>
      </c>
      <c r="R412" s="2" t="s">
        <v>700</v>
      </c>
      <c r="S412" s="2"/>
      <c r="T412" s="2" t="s">
        <v>618</v>
      </c>
      <c r="U412" s="2" t="n">
        <v>2.859</v>
      </c>
      <c r="V412" s="2" t="s">
        <v>71</v>
      </c>
    </row>
    <row r="413" customFormat="false" ht="15" hidden="false" customHeight="false" outlineLevel="0" collapsed="false">
      <c r="A413" s="2" t="s">
        <v>830</v>
      </c>
      <c r="B413" s="2" t="s">
        <v>645</v>
      </c>
      <c r="C413" s="2" t="s">
        <v>645</v>
      </c>
      <c r="D413" s="2" t="s">
        <v>39</v>
      </c>
      <c r="E413" s="2" t="s">
        <v>837</v>
      </c>
      <c r="F413" s="2" t="s">
        <v>838</v>
      </c>
      <c r="G413" s="2" t="s">
        <v>257</v>
      </c>
      <c r="H413" s="2" t="n">
        <v>2.767</v>
      </c>
      <c r="I413" s="2" t="n">
        <v>1950</v>
      </c>
      <c r="J413" s="2" t="n">
        <v>2.767</v>
      </c>
      <c r="K413" s="2" t="n">
        <v>0.145</v>
      </c>
      <c r="L413" s="2" t="n">
        <v>3010</v>
      </c>
      <c r="M413" s="2" t="n">
        <v>20</v>
      </c>
      <c r="N413" s="2" t="n">
        <v>-120.53</v>
      </c>
      <c r="O413" s="2" t="n">
        <v>23.06</v>
      </c>
      <c r="P413" s="2" t="s">
        <v>704</v>
      </c>
      <c r="Q413" s="2" t="s">
        <v>71</v>
      </c>
      <c r="R413" s="2" t="s">
        <v>700</v>
      </c>
      <c r="S413" s="2"/>
      <c r="T413" s="2" t="s">
        <v>618</v>
      </c>
      <c r="U413" s="2" t="n">
        <v>2.767</v>
      </c>
      <c r="V413" s="2" t="s">
        <v>71</v>
      </c>
    </row>
    <row r="414" customFormat="false" ht="15" hidden="false" customHeight="false" outlineLevel="0" collapsed="false">
      <c r="A414" s="2" t="s">
        <v>830</v>
      </c>
      <c r="B414" s="2" t="s">
        <v>646</v>
      </c>
      <c r="C414" s="2" t="s">
        <v>646</v>
      </c>
      <c r="D414" s="2" t="s">
        <v>39</v>
      </c>
      <c r="E414" s="2" t="s">
        <v>837</v>
      </c>
      <c r="F414" s="2" t="s">
        <v>838</v>
      </c>
      <c r="G414" s="2" t="s">
        <v>257</v>
      </c>
      <c r="H414" s="2" t="n">
        <v>2.724</v>
      </c>
      <c r="I414" s="2" t="n">
        <v>1950</v>
      </c>
      <c r="J414" s="2" t="n">
        <v>2.724</v>
      </c>
      <c r="K414" s="2" t="n">
        <v>0.153</v>
      </c>
      <c r="L414" s="2" t="n">
        <v>2970</v>
      </c>
      <c r="M414" s="2" t="n">
        <v>20</v>
      </c>
      <c r="N414" s="2" t="n">
        <v>-121.44</v>
      </c>
      <c r="O414" s="2" t="n">
        <v>22.48</v>
      </c>
      <c r="P414" s="2" t="s">
        <v>704</v>
      </c>
      <c r="Q414" s="2" t="s">
        <v>71</v>
      </c>
      <c r="R414" s="2" t="s">
        <v>700</v>
      </c>
      <c r="S414" s="2"/>
      <c r="T414" s="2" t="s">
        <v>618</v>
      </c>
      <c r="U414" s="2" t="n">
        <v>2.724</v>
      </c>
      <c r="V414" s="2" t="s">
        <v>71</v>
      </c>
    </row>
    <row r="415" customFormat="false" ht="15" hidden="false" customHeight="false" outlineLevel="0" collapsed="false">
      <c r="A415" s="2" t="s">
        <v>830</v>
      </c>
      <c r="B415" s="2" t="s">
        <v>647</v>
      </c>
      <c r="C415" s="2" t="s">
        <v>647</v>
      </c>
      <c r="D415" s="2" t="s">
        <v>39</v>
      </c>
      <c r="E415" s="2" t="s">
        <v>837</v>
      </c>
      <c r="F415" s="2" t="s">
        <v>838</v>
      </c>
      <c r="G415" s="2" t="s">
        <v>257</v>
      </c>
      <c r="H415" s="2" t="n">
        <v>2.797</v>
      </c>
      <c r="I415" s="2" t="n">
        <v>1950</v>
      </c>
      <c r="J415" s="2" t="n">
        <v>2.797</v>
      </c>
      <c r="K415" s="2" t="n">
        <v>0.1355</v>
      </c>
      <c r="L415" s="2" t="n">
        <v>3040</v>
      </c>
      <c r="M415" s="2" t="n">
        <v>20</v>
      </c>
      <c r="N415" s="2" t="n">
        <v>-120.04</v>
      </c>
      <c r="O415" s="2" t="n">
        <v>23.44</v>
      </c>
      <c r="P415" s="2" t="s">
        <v>704</v>
      </c>
      <c r="Q415" s="2" t="s">
        <v>71</v>
      </c>
      <c r="R415" s="2" t="s">
        <v>700</v>
      </c>
      <c r="S415" s="2"/>
      <c r="T415" s="2" t="s">
        <v>618</v>
      </c>
      <c r="U415" s="2" t="n">
        <v>2.797</v>
      </c>
      <c r="V415" s="2" t="s">
        <v>71</v>
      </c>
    </row>
    <row r="416" customFormat="false" ht="15" hidden="false" customHeight="false" outlineLevel="0" collapsed="false">
      <c r="A416" s="2" t="s">
        <v>830</v>
      </c>
      <c r="B416" s="2" t="s">
        <v>649</v>
      </c>
      <c r="C416" s="2" t="s">
        <v>649</v>
      </c>
      <c r="D416" s="2" t="s">
        <v>39</v>
      </c>
      <c r="E416" s="2" t="s">
        <v>837</v>
      </c>
      <c r="F416" s="2" t="s">
        <v>838</v>
      </c>
      <c r="G416" s="2" t="s">
        <v>257</v>
      </c>
      <c r="H416" s="2" t="n">
        <v>4.289</v>
      </c>
      <c r="I416" s="2" t="n">
        <v>1950</v>
      </c>
      <c r="J416" s="2" t="n">
        <v>4.289</v>
      </c>
      <c r="K416" s="2" t="n">
        <v>0.1745</v>
      </c>
      <c r="L416" s="2" t="n">
        <v>4140</v>
      </c>
      <c r="M416" s="2" t="n">
        <v>25</v>
      </c>
      <c r="N416" s="2" t="n">
        <v>-204.33</v>
      </c>
      <c r="O416" s="2" t="n">
        <v>18.72</v>
      </c>
      <c r="P416" s="2" t="s">
        <v>704</v>
      </c>
      <c r="Q416" s="2" t="s">
        <v>71</v>
      </c>
      <c r="R416" s="2" t="s">
        <v>700</v>
      </c>
      <c r="S416" s="2"/>
      <c r="T416" s="2" t="s">
        <v>618</v>
      </c>
      <c r="U416" s="2" t="n">
        <v>4.289</v>
      </c>
      <c r="V416" s="2" t="s">
        <v>71</v>
      </c>
    </row>
    <row r="417" customFormat="false" ht="15" hidden="false" customHeight="false" outlineLevel="0" collapsed="false">
      <c r="A417" s="2" t="s">
        <v>830</v>
      </c>
      <c r="B417" s="2" t="s">
        <v>651</v>
      </c>
      <c r="C417" s="2" t="s">
        <v>651</v>
      </c>
      <c r="D417" s="2" t="s">
        <v>39</v>
      </c>
      <c r="E417" s="2" t="s">
        <v>837</v>
      </c>
      <c r="F417" s="2" t="s">
        <v>838</v>
      </c>
      <c r="G417" s="2" t="s">
        <v>257</v>
      </c>
      <c r="H417" s="2" t="n">
        <v>4.093</v>
      </c>
      <c r="I417" s="2" t="n">
        <v>1950</v>
      </c>
      <c r="J417" s="2" t="n">
        <v>4.093</v>
      </c>
      <c r="K417" s="2" t="n">
        <v>0.1755</v>
      </c>
      <c r="L417" s="2" t="n">
        <v>4010</v>
      </c>
      <c r="M417" s="2" t="n">
        <v>20</v>
      </c>
      <c r="N417" s="2" t="n">
        <v>-188.39</v>
      </c>
      <c r="O417" s="2" t="n">
        <v>17.79</v>
      </c>
      <c r="P417" s="2" t="s">
        <v>704</v>
      </c>
      <c r="Q417" s="2" t="s">
        <v>71</v>
      </c>
      <c r="R417" s="2" t="s">
        <v>700</v>
      </c>
      <c r="S417" s="2"/>
      <c r="T417" s="2" t="s">
        <v>618</v>
      </c>
      <c r="U417" s="2" t="n">
        <v>4.093</v>
      </c>
      <c r="V417" s="2" t="s">
        <v>71</v>
      </c>
    </row>
    <row r="418" customFormat="false" ht="15" hidden="false" customHeight="false" outlineLevel="0" collapsed="false">
      <c r="A418" s="2" t="s">
        <v>830</v>
      </c>
      <c r="B418" s="2" t="s">
        <v>652</v>
      </c>
      <c r="C418" s="2" t="s">
        <v>652</v>
      </c>
      <c r="D418" s="2" t="s">
        <v>39</v>
      </c>
      <c r="E418" s="2" t="s">
        <v>837</v>
      </c>
      <c r="F418" s="2" t="s">
        <v>838</v>
      </c>
      <c r="G418" s="2" t="s">
        <v>257</v>
      </c>
      <c r="H418" s="2" t="n">
        <v>3.483</v>
      </c>
      <c r="I418" s="2" t="n">
        <v>1950</v>
      </c>
      <c r="J418" s="2" t="n">
        <v>3.483</v>
      </c>
      <c r="K418" s="2" t="n">
        <v>0.1515</v>
      </c>
      <c r="L418" s="2" t="n">
        <v>3590</v>
      </c>
      <c r="M418" s="2" t="n">
        <v>25</v>
      </c>
      <c r="N418" s="2" t="n">
        <v>-137.69</v>
      </c>
      <c r="O418" s="2" t="n">
        <v>17.92</v>
      </c>
      <c r="P418" s="2" t="s">
        <v>704</v>
      </c>
      <c r="Q418" s="2" t="s">
        <v>71</v>
      </c>
      <c r="R418" s="2" t="s">
        <v>700</v>
      </c>
      <c r="S418" s="2"/>
      <c r="T418" s="2" t="s">
        <v>618</v>
      </c>
      <c r="U418" s="2" t="n">
        <v>3.483</v>
      </c>
      <c r="V418" s="2" t="s">
        <v>71</v>
      </c>
    </row>
    <row r="419" customFormat="false" ht="15" hidden="false" customHeight="false" outlineLevel="0" collapsed="false">
      <c r="A419" s="2" t="s">
        <v>830</v>
      </c>
      <c r="B419" s="2" t="s">
        <v>653</v>
      </c>
      <c r="C419" s="2" t="s">
        <v>653</v>
      </c>
      <c r="D419" s="2" t="s">
        <v>39</v>
      </c>
      <c r="E419" s="2" t="s">
        <v>837</v>
      </c>
      <c r="F419" s="2" t="s">
        <v>838</v>
      </c>
      <c r="G419" s="2" t="s">
        <v>257</v>
      </c>
      <c r="H419" s="2" t="n">
        <v>4.186</v>
      </c>
      <c r="I419" s="2" t="n">
        <v>1950</v>
      </c>
      <c r="J419" s="2" t="n">
        <v>4.186</v>
      </c>
      <c r="K419" s="2" t="n">
        <v>0.183</v>
      </c>
      <c r="L419" s="2" t="n">
        <v>4070</v>
      </c>
      <c r="M419" s="2" t="n">
        <v>25</v>
      </c>
      <c r="N419" s="2" t="n">
        <v>-196.12</v>
      </c>
      <c r="O419" s="2" t="n">
        <v>18.25</v>
      </c>
      <c r="P419" s="2" t="s">
        <v>704</v>
      </c>
      <c r="Q419" s="2" t="s">
        <v>71</v>
      </c>
      <c r="R419" s="2" t="s">
        <v>700</v>
      </c>
      <c r="S419" s="2"/>
      <c r="T419" s="2" t="s">
        <v>618</v>
      </c>
      <c r="U419" s="2" t="n">
        <v>4.186</v>
      </c>
      <c r="V419" s="2" t="s">
        <v>71</v>
      </c>
    </row>
    <row r="420" customFormat="false" ht="15" hidden="false" customHeight="false" outlineLevel="0" collapsed="false">
      <c r="A420" s="2" t="s">
        <v>830</v>
      </c>
      <c r="B420" s="2" t="s">
        <v>654</v>
      </c>
      <c r="C420" s="2" t="s">
        <v>654</v>
      </c>
      <c r="D420" s="2" t="s">
        <v>39</v>
      </c>
      <c r="E420" s="2" t="s">
        <v>837</v>
      </c>
      <c r="F420" s="2" t="s">
        <v>838</v>
      </c>
      <c r="G420" s="2" t="s">
        <v>257</v>
      </c>
      <c r="H420" s="2" t="n">
        <v>4.061</v>
      </c>
      <c r="I420" s="2" t="n">
        <v>1950</v>
      </c>
      <c r="J420" s="2" t="n">
        <v>4.061</v>
      </c>
      <c r="K420" s="2" t="n">
        <v>0.176</v>
      </c>
      <c r="L420" s="2" t="n">
        <v>3990</v>
      </c>
      <c r="M420" s="2" t="n">
        <v>25</v>
      </c>
      <c r="N420" s="2" t="n">
        <v>-185.71</v>
      </c>
      <c r="O420" s="2" t="n">
        <v>17.61</v>
      </c>
      <c r="P420" s="2" t="s">
        <v>704</v>
      </c>
      <c r="Q420" s="2" t="s">
        <v>71</v>
      </c>
      <c r="R420" s="2" t="s">
        <v>700</v>
      </c>
      <c r="S420" s="2"/>
      <c r="T420" s="2" t="s">
        <v>618</v>
      </c>
      <c r="U420" s="2" t="n">
        <v>4.061</v>
      </c>
      <c r="V420" s="2" t="s">
        <v>71</v>
      </c>
    </row>
    <row r="421" customFormat="false" ht="15" hidden="false" customHeight="false" outlineLevel="0" collapsed="false">
      <c r="A421" s="2" t="s">
        <v>830</v>
      </c>
      <c r="B421" s="2" t="s">
        <v>655</v>
      </c>
      <c r="C421" s="2" t="s">
        <v>655</v>
      </c>
      <c r="D421" s="2" t="s">
        <v>39</v>
      </c>
      <c r="E421" s="2" t="s">
        <v>837</v>
      </c>
      <c r="F421" s="2" t="s">
        <v>838</v>
      </c>
      <c r="G421" s="2" t="s">
        <v>257</v>
      </c>
      <c r="H421" s="2" t="n">
        <v>3.69</v>
      </c>
      <c r="I421" s="2" t="n">
        <v>1950</v>
      </c>
      <c r="J421" s="2" t="n">
        <v>3.69</v>
      </c>
      <c r="K421" s="2" t="n">
        <v>0.162</v>
      </c>
      <c r="L421" s="2" t="n">
        <v>3740</v>
      </c>
      <c r="M421" s="2" t="n">
        <v>20</v>
      </c>
      <c r="N421" s="2" t="n">
        <v>-152.69</v>
      </c>
      <c r="O421" s="2" t="n">
        <v>15.87</v>
      </c>
      <c r="P421" s="2" t="s">
        <v>704</v>
      </c>
      <c r="Q421" s="2" t="s">
        <v>71</v>
      </c>
      <c r="R421" s="2" t="s">
        <v>700</v>
      </c>
      <c r="S421" s="2"/>
      <c r="T421" s="2" t="s">
        <v>618</v>
      </c>
      <c r="U421" s="2" t="n">
        <v>3.69</v>
      </c>
      <c r="V421" s="2" t="s">
        <v>71</v>
      </c>
    </row>
    <row r="422" customFormat="false" ht="15" hidden="false" customHeight="false" outlineLevel="0" collapsed="false">
      <c r="A422" s="2" t="s">
        <v>830</v>
      </c>
      <c r="B422" s="2" t="s">
        <v>657</v>
      </c>
      <c r="C422" s="2" t="s">
        <v>657</v>
      </c>
      <c r="D422" s="2" t="s">
        <v>39</v>
      </c>
      <c r="E422" s="2" t="s">
        <v>837</v>
      </c>
      <c r="F422" s="2" t="s">
        <v>838</v>
      </c>
      <c r="G422" s="2" t="s">
        <v>257</v>
      </c>
      <c r="H422" s="2" t="n">
        <v>3.852</v>
      </c>
      <c r="I422" s="2" t="n">
        <v>1950</v>
      </c>
      <c r="J422" s="2" t="n">
        <v>3.852</v>
      </c>
      <c r="K422" s="2" t="n">
        <v>0.1695</v>
      </c>
      <c r="L422" s="2" t="n">
        <v>3850</v>
      </c>
      <c r="M422" s="2" t="n">
        <v>20</v>
      </c>
      <c r="N422" s="2" t="n">
        <v>-166.64</v>
      </c>
      <c r="O422" s="2" t="n">
        <v>16.26</v>
      </c>
      <c r="P422" s="2" t="s">
        <v>704</v>
      </c>
      <c r="Q422" s="2" t="s">
        <v>71</v>
      </c>
      <c r="R422" s="2" t="s">
        <v>700</v>
      </c>
      <c r="S422" s="2"/>
      <c r="T422" s="2" t="s">
        <v>618</v>
      </c>
      <c r="U422" s="2" t="n">
        <v>3.852</v>
      </c>
      <c r="V422" s="2" t="s">
        <v>71</v>
      </c>
    </row>
    <row r="423" customFormat="false" ht="15" hidden="false" customHeight="false" outlineLevel="0" collapsed="false">
      <c r="A423" s="2" t="s">
        <v>830</v>
      </c>
      <c r="B423" s="2" t="s">
        <v>658</v>
      </c>
      <c r="C423" s="2" t="s">
        <v>658</v>
      </c>
      <c r="D423" s="2" t="s">
        <v>39</v>
      </c>
      <c r="E423" s="2" t="s">
        <v>837</v>
      </c>
      <c r="F423" s="2" t="s">
        <v>838</v>
      </c>
      <c r="G423" s="2" t="s">
        <v>257</v>
      </c>
      <c r="H423" s="2" t="n">
        <v>3.469</v>
      </c>
      <c r="I423" s="2" t="n">
        <v>1950</v>
      </c>
      <c r="J423" s="2" t="n">
        <v>3.469</v>
      </c>
      <c r="K423" s="2" t="n">
        <v>0.143</v>
      </c>
      <c r="L423" s="2" t="n">
        <v>3580</v>
      </c>
      <c r="M423" s="2" t="n">
        <v>15</v>
      </c>
      <c r="N423" s="2" t="n">
        <v>-136.88</v>
      </c>
      <c r="O423" s="2" t="n">
        <v>18.14</v>
      </c>
      <c r="P423" s="2" t="s">
        <v>704</v>
      </c>
      <c r="Q423" s="2" t="s">
        <v>71</v>
      </c>
      <c r="R423" s="2" t="s">
        <v>700</v>
      </c>
      <c r="S423" s="2"/>
      <c r="T423" s="2" t="s">
        <v>618</v>
      </c>
      <c r="U423" s="2" t="n">
        <v>3.469</v>
      </c>
      <c r="V423" s="2" t="s">
        <v>71</v>
      </c>
    </row>
    <row r="424" customFormat="false" ht="15" hidden="false" customHeight="false" outlineLevel="0" collapsed="false">
      <c r="A424" s="2" t="s">
        <v>830</v>
      </c>
      <c r="B424" s="2" t="s">
        <v>659</v>
      </c>
      <c r="C424" s="2" t="s">
        <v>659</v>
      </c>
      <c r="D424" s="2" t="s">
        <v>39</v>
      </c>
      <c r="E424" s="2" t="s">
        <v>837</v>
      </c>
      <c r="F424" s="2" t="s">
        <v>838</v>
      </c>
      <c r="G424" s="2" t="s">
        <v>257</v>
      </c>
      <c r="H424" s="2" t="n">
        <v>2.858</v>
      </c>
      <c r="I424" s="2" t="n">
        <v>1950</v>
      </c>
      <c r="J424" s="2" t="n">
        <v>2.858</v>
      </c>
      <c r="K424" s="2" t="n">
        <v>0.143</v>
      </c>
      <c r="L424" s="2" t="n">
        <v>3100</v>
      </c>
      <c r="M424" s="2" t="n">
        <v>15</v>
      </c>
      <c r="N424" s="2" t="n">
        <v>-119.53</v>
      </c>
      <c r="O424" s="2" t="n">
        <v>24.01</v>
      </c>
      <c r="P424" s="2" t="s">
        <v>704</v>
      </c>
      <c r="Q424" s="2" t="s">
        <v>71</v>
      </c>
      <c r="R424" s="2" t="s">
        <v>700</v>
      </c>
      <c r="S424" s="2"/>
      <c r="T424" s="2" t="s">
        <v>618</v>
      </c>
      <c r="U424" s="2" t="n">
        <v>2.858</v>
      </c>
      <c r="V424" s="2" t="s">
        <v>71</v>
      </c>
    </row>
    <row r="425" customFormat="false" ht="15" hidden="false" customHeight="false" outlineLevel="0" collapsed="false">
      <c r="A425" s="2" t="s">
        <v>830</v>
      </c>
      <c r="B425" s="2" t="s">
        <v>660</v>
      </c>
      <c r="C425" s="2" t="s">
        <v>660</v>
      </c>
      <c r="D425" s="2" t="s">
        <v>39</v>
      </c>
      <c r="E425" s="2" t="s">
        <v>837</v>
      </c>
      <c r="F425" s="2" t="s">
        <v>838</v>
      </c>
      <c r="G425" s="2" t="s">
        <v>257</v>
      </c>
      <c r="H425" s="2" t="n">
        <v>2.894</v>
      </c>
      <c r="I425" s="2" t="n">
        <v>1950</v>
      </c>
      <c r="J425" s="2" t="n">
        <v>2.894</v>
      </c>
      <c r="K425" s="2" t="n">
        <v>0.1515</v>
      </c>
      <c r="L425" s="2" t="n">
        <v>3130</v>
      </c>
      <c r="M425" s="2" t="n">
        <v>15</v>
      </c>
      <c r="N425" s="2" t="n">
        <v>-119.51</v>
      </c>
      <c r="O425" s="2" t="n">
        <v>24.19</v>
      </c>
      <c r="P425" s="2" t="s">
        <v>704</v>
      </c>
      <c r="Q425" s="2" t="s">
        <v>71</v>
      </c>
      <c r="R425" s="2" t="s">
        <v>700</v>
      </c>
      <c r="S425" s="2"/>
      <c r="T425" s="2" t="s">
        <v>618</v>
      </c>
      <c r="U425" s="2" t="n">
        <v>2.894</v>
      </c>
      <c r="V425" s="2" t="s">
        <v>71</v>
      </c>
    </row>
    <row r="426" customFormat="false" ht="15" hidden="false" customHeight="false" outlineLevel="0" collapsed="false">
      <c r="A426" s="2" t="s">
        <v>830</v>
      </c>
      <c r="B426" s="2" t="s">
        <v>661</v>
      </c>
      <c r="C426" s="2" t="s">
        <v>661</v>
      </c>
      <c r="D426" s="2" t="s">
        <v>39</v>
      </c>
      <c r="E426" s="2" t="s">
        <v>837</v>
      </c>
      <c r="F426" s="2" t="s">
        <v>838</v>
      </c>
      <c r="G426" s="2" t="s">
        <v>257</v>
      </c>
      <c r="H426" s="2" t="n">
        <v>4.29</v>
      </c>
      <c r="I426" s="2" t="n">
        <v>1950</v>
      </c>
      <c r="J426" s="2" t="n">
        <v>4.29</v>
      </c>
      <c r="K426" s="2" t="n">
        <v>0.1695</v>
      </c>
      <c r="L426" s="2" t="n">
        <v>4140</v>
      </c>
      <c r="M426" s="2" t="n">
        <v>20</v>
      </c>
      <c r="N426" s="2" t="n">
        <v>-204.33</v>
      </c>
      <c r="O426" s="2" t="n">
        <v>18.72</v>
      </c>
      <c r="P426" s="2" t="s">
        <v>704</v>
      </c>
      <c r="Q426" s="2" t="s">
        <v>71</v>
      </c>
      <c r="R426" s="2" t="s">
        <v>700</v>
      </c>
      <c r="S426" s="2"/>
      <c r="T426" s="2" t="s">
        <v>618</v>
      </c>
      <c r="U426" s="2" t="n">
        <v>4.29</v>
      </c>
      <c r="V426" s="2" t="s">
        <v>71</v>
      </c>
    </row>
    <row r="427" customFormat="false" ht="15" hidden="false" customHeight="false" outlineLevel="0" collapsed="false">
      <c r="A427" s="2" t="s">
        <v>830</v>
      </c>
      <c r="B427" s="2" t="s">
        <v>662</v>
      </c>
      <c r="C427" s="2" t="s">
        <v>662</v>
      </c>
      <c r="D427" s="2" t="s">
        <v>39</v>
      </c>
      <c r="E427" s="2" t="s">
        <v>837</v>
      </c>
      <c r="F427" s="2" t="s">
        <v>838</v>
      </c>
      <c r="G427" s="2" t="s">
        <v>257</v>
      </c>
      <c r="H427" s="2" t="n">
        <v>4.261</v>
      </c>
      <c r="I427" s="2" t="n">
        <v>1950</v>
      </c>
      <c r="J427" s="2" t="n">
        <v>4.261</v>
      </c>
      <c r="K427" s="2" t="n">
        <v>0.1645</v>
      </c>
      <c r="L427" s="2" t="n">
        <v>4120</v>
      </c>
      <c r="M427" s="2" t="n">
        <v>20</v>
      </c>
      <c r="N427" s="2" t="n">
        <v>-202.1</v>
      </c>
      <c r="O427" s="2" t="n">
        <v>18.59</v>
      </c>
      <c r="P427" s="2" t="s">
        <v>704</v>
      </c>
      <c r="Q427" s="2" t="s">
        <v>71</v>
      </c>
      <c r="R427" s="2" t="s">
        <v>700</v>
      </c>
      <c r="S427" s="2"/>
      <c r="T427" s="2" t="s">
        <v>618</v>
      </c>
      <c r="U427" s="2" t="n">
        <v>4.261</v>
      </c>
      <c r="V427" s="2" t="s">
        <v>71</v>
      </c>
    </row>
    <row r="428" customFormat="false" ht="15" hidden="false" customHeight="false" outlineLevel="0" collapsed="false">
      <c r="A428" s="2" t="s">
        <v>830</v>
      </c>
      <c r="B428" s="2" t="s">
        <v>663</v>
      </c>
      <c r="C428" s="2" t="s">
        <v>663</v>
      </c>
      <c r="D428" s="2" t="s">
        <v>39</v>
      </c>
      <c r="E428" s="2" t="s">
        <v>837</v>
      </c>
      <c r="F428" s="2" t="s">
        <v>838</v>
      </c>
      <c r="G428" s="2" t="s">
        <v>257</v>
      </c>
      <c r="H428" s="2" t="n">
        <v>1.242</v>
      </c>
      <c r="I428" s="2" t="n">
        <v>1950</v>
      </c>
      <c r="J428" s="2" t="n">
        <v>1.242</v>
      </c>
      <c r="K428" s="2" t="n">
        <v>0.1285</v>
      </c>
      <c r="L428" s="2" t="n">
        <v>1630</v>
      </c>
      <c r="M428" s="2" t="n">
        <v>15</v>
      </c>
      <c r="N428" s="2" t="n">
        <v>-216.07</v>
      </c>
      <c r="O428" s="2" t="n">
        <v>24.07</v>
      </c>
      <c r="P428" s="2" t="s">
        <v>704</v>
      </c>
      <c r="Q428" s="2" t="s">
        <v>71</v>
      </c>
      <c r="R428" s="2" t="s">
        <v>700</v>
      </c>
      <c r="S428" s="2"/>
      <c r="T428" s="2" t="s">
        <v>618</v>
      </c>
      <c r="U428" s="2" t="n">
        <v>1.242</v>
      </c>
      <c r="V428" s="2" t="s">
        <v>71</v>
      </c>
    </row>
    <row r="429" customFormat="false" ht="15" hidden="false" customHeight="false" outlineLevel="0" collapsed="false">
      <c r="A429" s="2" t="s">
        <v>830</v>
      </c>
      <c r="B429" s="2" t="s">
        <v>664</v>
      </c>
      <c r="C429" s="2" t="s">
        <v>664</v>
      </c>
      <c r="D429" s="2" t="s">
        <v>39</v>
      </c>
      <c r="E429" s="2" t="s">
        <v>837</v>
      </c>
      <c r="F429" s="2" t="s">
        <v>838</v>
      </c>
      <c r="G429" s="2" t="s">
        <v>257</v>
      </c>
      <c r="H429" s="2" t="n">
        <v>1.645</v>
      </c>
      <c r="I429" s="2" t="n">
        <v>1950</v>
      </c>
      <c r="J429" s="2" t="n">
        <v>1.645</v>
      </c>
      <c r="K429" s="2" t="n">
        <v>0.146</v>
      </c>
      <c r="L429" s="2" t="n">
        <v>2020</v>
      </c>
      <c r="M429" s="2" t="n">
        <v>15</v>
      </c>
      <c r="N429" s="2" t="n">
        <v>-204.71</v>
      </c>
      <c r="O429" s="2" t="n">
        <v>22.7</v>
      </c>
      <c r="P429" s="2" t="s">
        <v>704</v>
      </c>
      <c r="Q429" s="2" t="s">
        <v>71</v>
      </c>
      <c r="R429" s="2" t="s">
        <v>700</v>
      </c>
      <c r="S429" s="2"/>
      <c r="T429" s="2" t="s">
        <v>618</v>
      </c>
      <c r="U429" s="2" t="n">
        <v>1.645</v>
      </c>
      <c r="V429" s="2" t="s">
        <v>71</v>
      </c>
    </row>
    <row r="430" customFormat="false" ht="15" hidden="false" customHeight="false" outlineLevel="0" collapsed="false">
      <c r="A430" s="2" t="s">
        <v>830</v>
      </c>
      <c r="B430" s="2" t="s">
        <v>665</v>
      </c>
      <c r="C430" s="2" t="s">
        <v>665</v>
      </c>
      <c r="D430" s="2" t="s">
        <v>39</v>
      </c>
      <c r="E430" s="2" t="s">
        <v>837</v>
      </c>
      <c r="F430" s="2" t="s">
        <v>838</v>
      </c>
      <c r="G430" s="2" t="s">
        <v>257</v>
      </c>
      <c r="H430" s="2" t="n">
        <v>0.374</v>
      </c>
      <c r="I430" s="2" t="n">
        <v>1950</v>
      </c>
      <c r="J430" s="2" t="n">
        <v>0.374</v>
      </c>
      <c r="K430" s="2" t="n">
        <v>0.122</v>
      </c>
      <c r="L430" s="2" t="n">
        <v>685</v>
      </c>
      <c r="M430" s="2" t="n">
        <v>15</v>
      </c>
      <c r="N430" s="2" t="n">
        <v>-229.19</v>
      </c>
      <c r="O430" s="2" t="n">
        <v>25.57</v>
      </c>
      <c r="P430" s="2" t="s">
        <v>704</v>
      </c>
      <c r="Q430" s="2" t="s">
        <v>71</v>
      </c>
      <c r="R430" s="2" t="s">
        <v>700</v>
      </c>
      <c r="S430" s="2"/>
      <c r="T430" s="2" t="s">
        <v>618</v>
      </c>
      <c r="U430" s="2" t="n">
        <v>0.374</v>
      </c>
      <c r="V430" s="2" t="s">
        <v>71</v>
      </c>
    </row>
    <row r="431" customFormat="false" ht="15" hidden="false" customHeight="false" outlineLevel="0" collapsed="false">
      <c r="A431" s="2" t="s">
        <v>830</v>
      </c>
      <c r="B431" s="2" t="s">
        <v>666</v>
      </c>
      <c r="C431" s="2" t="s">
        <v>666</v>
      </c>
      <c r="D431" s="2" t="s">
        <v>39</v>
      </c>
      <c r="E431" s="2" t="s">
        <v>837</v>
      </c>
      <c r="F431" s="2" t="s">
        <v>838</v>
      </c>
      <c r="G431" s="2" t="s">
        <v>257</v>
      </c>
      <c r="H431" s="2" t="n">
        <v>2.984</v>
      </c>
      <c r="I431" s="2" t="n">
        <v>1950</v>
      </c>
      <c r="J431" s="2" t="n">
        <v>2.984</v>
      </c>
      <c r="K431" s="2" t="n">
        <v>0.169</v>
      </c>
      <c r="L431" s="2" t="n">
        <v>3200</v>
      </c>
      <c r="M431" s="2" t="n">
        <v>20</v>
      </c>
      <c r="N431" s="2" t="n">
        <v>-120.01</v>
      </c>
      <c r="O431" s="2" t="n">
        <v>24.3</v>
      </c>
      <c r="P431" s="2" t="s">
        <v>704</v>
      </c>
      <c r="Q431" s="2" t="s">
        <v>71</v>
      </c>
      <c r="R431" s="2" t="s">
        <v>700</v>
      </c>
      <c r="S431" s="2"/>
      <c r="T431" s="2" t="s">
        <v>618</v>
      </c>
      <c r="U431" s="2" t="n">
        <v>2.984</v>
      </c>
      <c r="V431" s="2" t="s">
        <v>71</v>
      </c>
    </row>
    <row r="432" customFormat="false" ht="15" hidden="false" customHeight="false" outlineLevel="0" collapsed="false">
      <c r="A432" s="2" t="s">
        <v>830</v>
      </c>
      <c r="B432" s="2" t="s">
        <v>667</v>
      </c>
      <c r="C432" s="2" t="s">
        <v>667</v>
      </c>
      <c r="D432" s="2" t="s">
        <v>39</v>
      </c>
      <c r="E432" s="2" t="s">
        <v>837</v>
      </c>
      <c r="F432" s="2" t="s">
        <v>838</v>
      </c>
      <c r="G432" s="2" t="s">
        <v>257</v>
      </c>
      <c r="H432" s="2" t="n">
        <v>3.762</v>
      </c>
      <c r="I432" s="2" t="n">
        <v>1950</v>
      </c>
      <c r="J432" s="2" t="n">
        <v>3.762</v>
      </c>
      <c r="K432" s="2" t="n">
        <v>0.163</v>
      </c>
      <c r="L432" s="2" t="n">
        <v>3790</v>
      </c>
      <c r="M432" s="2" t="n">
        <v>20</v>
      </c>
      <c r="N432" s="2" t="n">
        <v>-158.8</v>
      </c>
      <c r="O432" s="2" t="n">
        <v>15.89</v>
      </c>
      <c r="P432" s="2" t="s">
        <v>704</v>
      </c>
      <c r="Q432" s="2" t="s">
        <v>71</v>
      </c>
      <c r="R432" s="2" t="s">
        <v>700</v>
      </c>
      <c r="S432" s="2"/>
      <c r="T432" s="2" t="s">
        <v>618</v>
      </c>
      <c r="U432" s="2" t="n">
        <v>3.762</v>
      </c>
      <c r="V432" s="2" t="s">
        <v>71</v>
      </c>
    </row>
    <row r="433" customFormat="false" ht="15" hidden="false" customHeight="false" outlineLevel="0" collapsed="false">
      <c r="A433" s="2" t="s">
        <v>830</v>
      </c>
      <c r="B433" s="2" t="s">
        <v>668</v>
      </c>
      <c r="C433" s="2" t="s">
        <v>668</v>
      </c>
      <c r="D433" s="2" t="s">
        <v>39</v>
      </c>
      <c r="E433" s="2" t="s">
        <v>837</v>
      </c>
      <c r="F433" s="2" t="s">
        <v>838</v>
      </c>
      <c r="G433" s="2" t="s">
        <v>257</v>
      </c>
      <c r="H433" s="2" t="n">
        <v>4.276</v>
      </c>
      <c r="I433" s="2" t="n">
        <v>1950</v>
      </c>
      <c r="J433" s="2" t="n">
        <v>4.276</v>
      </c>
      <c r="K433" s="2" t="n">
        <v>0.166</v>
      </c>
      <c r="L433" s="2" t="n">
        <v>4130</v>
      </c>
      <c r="M433" s="2" t="n">
        <v>20</v>
      </c>
      <c r="N433" s="2" t="n">
        <v>-203.23</v>
      </c>
      <c r="O433" s="2" t="n">
        <v>18.65</v>
      </c>
      <c r="P433" s="2" t="s">
        <v>704</v>
      </c>
      <c r="Q433" s="2" t="s">
        <v>71</v>
      </c>
      <c r="R433" s="2" t="s">
        <v>700</v>
      </c>
      <c r="S433" s="2"/>
      <c r="T433" s="2" t="s">
        <v>618</v>
      </c>
      <c r="U433" s="2" t="n">
        <v>4.276</v>
      </c>
      <c r="V433" s="2" t="s">
        <v>71</v>
      </c>
    </row>
    <row r="434" customFormat="false" ht="15" hidden="false" customHeight="false" outlineLevel="0" collapsed="false">
      <c r="A434" s="2" t="s">
        <v>830</v>
      </c>
      <c r="B434" s="2" t="s">
        <v>669</v>
      </c>
      <c r="C434" s="2" t="s">
        <v>669</v>
      </c>
      <c r="D434" s="2" t="s">
        <v>39</v>
      </c>
      <c r="E434" s="2" t="s">
        <v>837</v>
      </c>
      <c r="F434" s="2" t="s">
        <v>838</v>
      </c>
      <c r="G434" s="2" t="s">
        <v>257</v>
      </c>
      <c r="H434" s="2" t="n">
        <v>4.232</v>
      </c>
      <c r="I434" s="2" t="n">
        <v>1950</v>
      </c>
      <c r="J434" s="2" t="n">
        <v>4.232</v>
      </c>
      <c r="K434" s="2" t="n">
        <v>0.1665</v>
      </c>
      <c r="L434" s="2" t="n">
        <v>4100</v>
      </c>
      <c r="M434" s="2" t="n">
        <v>20</v>
      </c>
      <c r="N434" s="2" t="n">
        <v>-199.77</v>
      </c>
      <c r="O434" s="2" t="n">
        <v>18.46</v>
      </c>
      <c r="P434" s="2" t="s">
        <v>704</v>
      </c>
      <c r="Q434" s="2" t="s">
        <v>71</v>
      </c>
      <c r="R434" s="2" t="s">
        <v>700</v>
      </c>
      <c r="S434" s="2"/>
      <c r="T434" s="2" t="s">
        <v>618</v>
      </c>
      <c r="U434" s="2" t="n">
        <v>4.232</v>
      </c>
      <c r="V434" s="2" t="s">
        <v>71</v>
      </c>
    </row>
    <row r="435" customFormat="false" ht="15" hidden="false" customHeight="false" outlineLevel="0" collapsed="false">
      <c r="A435" s="2" t="s">
        <v>830</v>
      </c>
      <c r="B435" s="2" t="s">
        <v>670</v>
      </c>
      <c r="C435" s="2" t="s">
        <v>670</v>
      </c>
      <c r="D435" s="2" t="s">
        <v>39</v>
      </c>
      <c r="E435" s="2" t="s">
        <v>837</v>
      </c>
      <c r="F435" s="2" t="s">
        <v>838</v>
      </c>
      <c r="G435" s="2" t="s">
        <v>257</v>
      </c>
      <c r="H435" s="2" t="n">
        <v>2.505</v>
      </c>
      <c r="I435" s="2" t="n">
        <v>1950</v>
      </c>
      <c r="J435" s="2" t="n">
        <v>2.505</v>
      </c>
      <c r="K435" s="2" t="n">
        <v>0.1635</v>
      </c>
      <c r="L435" s="2" t="n">
        <v>2780</v>
      </c>
      <c r="M435" s="2" t="n">
        <v>15</v>
      </c>
      <c r="N435" s="2" t="n">
        <v>-130.31</v>
      </c>
      <c r="O435" s="2" t="n">
        <v>19.64</v>
      </c>
      <c r="P435" s="2" t="s">
        <v>704</v>
      </c>
      <c r="Q435" s="2" t="s">
        <v>71</v>
      </c>
      <c r="R435" s="2" t="s">
        <v>700</v>
      </c>
      <c r="S435" s="2"/>
      <c r="T435" s="2" t="s">
        <v>618</v>
      </c>
      <c r="U435" s="2" t="n">
        <v>2.505</v>
      </c>
      <c r="V435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839</v>
      </c>
      <c r="B1" s="1" t="s">
        <v>840</v>
      </c>
      <c r="C1" s="1" t="s">
        <v>841</v>
      </c>
      <c r="D1" s="1" t="s">
        <v>842</v>
      </c>
    </row>
    <row r="2" customFormat="false" ht="15" hidden="false" customHeight="false" outlineLevel="0" collapsed="false">
      <c r="A2" s="2" t="s">
        <v>843</v>
      </c>
      <c r="B2" s="2" t="s">
        <v>698</v>
      </c>
      <c r="C2" s="2" t="s">
        <v>844</v>
      </c>
      <c r="D2" s="2" t="s">
        <v>845</v>
      </c>
    </row>
    <row r="3" customFormat="false" ht="15" hidden="false" customHeight="false" outlineLevel="0" collapsed="false">
      <c r="A3" s="2" t="s">
        <v>843</v>
      </c>
      <c r="B3" s="2" t="s">
        <v>698</v>
      </c>
      <c r="C3" s="2" t="s">
        <v>846</v>
      </c>
      <c r="D3" s="2" t="s">
        <v>847</v>
      </c>
    </row>
    <row r="4" customFormat="false" ht="15" hidden="false" customHeight="false" outlineLevel="0" collapsed="false">
      <c r="A4" s="2" t="s">
        <v>843</v>
      </c>
      <c r="B4" s="2" t="s">
        <v>698</v>
      </c>
      <c r="C4" s="2" t="s">
        <v>848</v>
      </c>
      <c r="D4" s="2" t="s">
        <v>849</v>
      </c>
    </row>
    <row r="5" customFormat="false" ht="15" hidden="false" customHeight="false" outlineLevel="0" collapsed="false">
      <c r="A5" s="2" t="s">
        <v>843</v>
      </c>
      <c r="B5" s="2" t="s">
        <v>698</v>
      </c>
      <c r="C5" s="2" t="s">
        <v>850</v>
      </c>
      <c r="D5" s="2" t="s">
        <v>851</v>
      </c>
    </row>
    <row r="6" customFormat="false" ht="15" hidden="false" customHeight="false" outlineLevel="0" collapsed="false">
      <c r="A6" s="2" t="s">
        <v>843</v>
      </c>
      <c r="B6" s="2" t="s">
        <v>698</v>
      </c>
      <c r="C6" s="2" t="s">
        <v>852</v>
      </c>
      <c r="D6" s="2" t="s">
        <v>851</v>
      </c>
    </row>
    <row r="7" customFormat="false" ht="15" hidden="false" customHeight="false" outlineLevel="0" collapsed="false">
      <c r="A7" s="2" t="s">
        <v>843</v>
      </c>
      <c r="B7" s="2" t="s">
        <v>698</v>
      </c>
      <c r="C7" s="2" t="s">
        <v>853</v>
      </c>
      <c r="D7" s="2" t="s">
        <v>120</v>
      </c>
    </row>
    <row r="8" customFormat="false" ht="15" hidden="false" customHeight="false" outlineLevel="0" collapsed="false">
      <c r="A8" s="2" t="s">
        <v>843</v>
      </c>
      <c r="B8" s="2" t="s">
        <v>698</v>
      </c>
      <c r="C8" s="2" t="s">
        <v>854</v>
      </c>
      <c r="D8" s="2" t="s">
        <v>855</v>
      </c>
    </row>
    <row r="9" customFormat="false" ht="15" hidden="false" customHeight="false" outlineLevel="0" collapsed="false">
      <c r="A9" s="2" t="s">
        <v>843</v>
      </c>
      <c r="B9" s="2" t="s">
        <v>701</v>
      </c>
      <c r="C9" s="2" t="s">
        <v>856</v>
      </c>
      <c r="D9" s="2" t="s">
        <v>857</v>
      </c>
    </row>
    <row r="10" customFormat="false" ht="15" hidden="false" customHeight="false" outlineLevel="0" collapsed="false">
      <c r="A10" s="2" t="s">
        <v>843</v>
      </c>
      <c r="B10" s="2" t="s">
        <v>701</v>
      </c>
      <c r="C10" s="2" t="s">
        <v>858</v>
      </c>
      <c r="D10" s="2" t="s">
        <v>859</v>
      </c>
    </row>
    <row r="11" customFormat="false" ht="15" hidden="false" customHeight="false" outlineLevel="0" collapsed="false">
      <c r="A11" s="2" t="s">
        <v>843</v>
      </c>
      <c r="B11" s="2" t="s">
        <v>701</v>
      </c>
      <c r="C11" s="2" t="s">
        <v>860</v>
      </c>
      <c r="D11" s="2" t="s">
        <v>861</v>
      </c>
    </row>
    <row r="12" customFormat="false" ht="15" hidden="false" customHeight="false" outlineLevel="0" collapsed="false">
      <c r="A12" s="2" t="s">
        <v>843</v>
      </c>
      <c r="B12" s="2" t="s">
        <v>701</v>
      </c>
      <c r="C12" s="2" t="s">
        <v>862</v>
      </c>
      <c r="D12" s="2" t="s">
        <v>851</v>
      </c>
    </row>
    <row r="13" customFormat="false" ht="15" hidden="false" customHeight="false" outlineLevel="0" collapsed="false">
      <c r="A13" s="2" t="s">
        <v>843</v>
      </c>
      <c r="B13" s="2" t="s">
        <v>701</v>
      </c>
      <c r="C13" s="2" t="s">
        <v>863</v>
      </c>
      <c r="D13" s="2" t="s">
        <v>864</v>
      </c>
    </row>
    <row r="14" customFormat="false" ht="15" hidden="false" customHeight="false" outlineLevel="0" collapsed="false">
      <c r="A14" s="2" t="s">
        <v>843</v>
      </c>
      <c r="B14" s="2" t="s">
        <v>865</v>
      </c>
      <c r="C14" s="2" t="s">
        <v>866</v>
      </c>
      <c r="D14" s="2" t="s">
        <v>867</v>
      </c>
    </row>
    <row r="15" customFormat="false" ht="15" hidden="false" customHeight="false" outlineLevel="0" collapsed="false">
      <c r="A15" s="2" t="s">
        <v>843</v>
      </c>
      <c r="B15" s="2" t="s">
        <v>865</v>
      </c>
      <c r="C15" s="2" t="s">
        <v>868</v>
      </c>
      <c r="D15" s="2" t="s">
        <v>869</v>
      </c>
    </row>
    <row r="16" customFormat="false" ht="15" hidden="false" customHeight="false" outlineLevel="0" collapsed="false">
      <c r="A16" s="2" t="s">
        <v>843</v>
      </c>
      <c r="B16" s="2" t="s">
        <v>865</v>
      </c>
      <c r="C16" s="2" t="s">
        <v>870</v>
      </c>
      <c r="D16" s="2" t="s">
        <v>871</v>
      </c>
    </row>
    <row r="17" customFormat="false" ht="15" hidden="false" customHeight="false" outlineLevel="0" collapsed="false">
      <c r="A17" s="2" t="s">
        <v>843</v>
      </c>
      <c r="B17" s="2" t="s">
        <v>865</v>
      </c>
      <c r="C17" s="2" t="s">
        <v>872</v>
      </c>
      <c r="D17" s="2" t="s">
        <v>873</v>
      </c>
    </row>
    <row r="18" customFormat="false" ht="15" hidden="false" customHeight="false" outlineLevel="0" collapsed="false">
      <c r="A18" s="2" t="s">
        <v>843</v>
      </c>
      <c r="B18" s="2" t="s">
        <v>865</v>
      </c>
      <c r="C18" s="2" t="s">
        <v>874</v>
      </c>
      <c r="D18" s="2" t="s">
        <v>859</v>
      </c>
    </row>
    <row r="19" customFormat="false" ht="15" hidden="false" customHeight="false" outlineLevel="0" collapsed="false">
      <c r="A19" s="2" t="s">
        <v>843</v>
      </c>
      <c r="B19" s="2" t="s">
        <v>701</v>
      </c>
      <c r="C19" s="2" t="s">
        <v>875</v>
      </c>
      <c r="D19" s="2" t="s">
        <v>876</v>
      </c>
    </row>
    <row r="20" customFormat="false" ht="15" hidden="false" customHeight="false" outlineLevel="0" collapsed="false">
      <c r="A20" s="2" t="s">
        <v>843</v>
      </c>
      <c r="B20" s="2" t="s">
        <v>701</v>
      </c>
      <c r="C20" s="2" t="s">
        <v>877</v>
      </c>
      <c r="D20" s="2" t="s">
        <v>876</v>
      </c>
    </row>
    <row r="21" customFormat="false" ht="15" hidden="false" customHeight="false" outlineLevel="0" collapsed="false">
      <c r="A21" s="2" t="s">
        <v>843</v>
      </c>
      <c r="B21" s="2" t="s">
        <v>830</v>
      </c>
      <c r="C21" s="2" t="s">
        <v>878</v>
      </c>
      <c r="D21" s="2" t="s">
        <v>879</v>
      </c>
    </row>
    <row r="22" customFormat="false" ht="15" hidden="false" customHeight="false" outlineLevel="0" collapsed="false">
      <c r="A22" s="2" t="s">
        <v>843</v>
      </c>
      <c r="B22" s="2" t="s">
        <v>830</v>
      </c>
      <c r="C22" s="2" t="s">
        <v>880</v>
      </c>
      <c r="D22" s="2" t="s">
        <v>881</v>
      </c>
    </row>
    <row r="23" customFormat="false" ht="15" hidden="false" customHeight="false" outlineLevel="0" collapsed="false">
      <c r="A23" s="2" t="s">
        <v>843</v>
      </c>
      <c r="B23" s="2" t="s">
        <v>830</v>
      </c>
      <c r="C23" s="2" t="s">
        <v>882</v>
      </c>
      <c r="D23" s="2" t="s">
        <v>881</v>
      </c>
    </row>
    <row r="24" customFormat="false" ht="15" hidden="false" customHeight="false" outlineLevel="0" collapsed="false">
      <c r="A24" s="2" t="s">
        <v>843</v>
      </c>
      <c r="B24" s="2" t="s">
        <v>830</v>
      </c>
      <c r="C24" s="2" t="s">
        <v>883</v>
      </c>
      <c r="D24" s="2" t="s">
        <v>884</v>
      </c>
    </row>
    <row r="25" customFormat="false" ht="15" hidden="false" customHeight="false" outlineLevel="0" collapsed="false">
      <c r="A25" s="2" t="s">
        <v>843</v>
      </c>
      <c r="B25" s="2" t="s">
        <v>885</v>
      </c>
      <c r="C25" s="2" t="s">
        <v>886</v>
      </c>
      <c r="D25" s="2" t="s">
        <v>887</v>
      </c>
    </row>
    <row r="26" customFormat="false" ht="15" hidden="false" customHeight="false" outlineLevel="0" collapsed="false">
      <c r="A26" s="2" t="s">
        <v>843</v>
      </c>
      <c r="B26" s="2" t="s">
        <v>830</v>
      </c>
      <c r="C26" s="2" t="s">
        <v>888</v>
      </c>
      <c r="D26" s="2" t="s">
        <v>889</v>
      </c>
    </row>
    <row r="27" customFormat="false" ht="15" hidden="false" customHeight="false" outlineLevel="0" collapsed="false">
      <c r="A27" s="2" t="s">
        <v>890</v>
      </c>
      <c r="B27" s="2" t="s">
        <v>885</v>
      </c>
      <c r="C27" s="2" t="s">
        <v>891</v>
      </c>
      <c r="D27" s="2" t="s">
        <v>892</v>
      </c>
    </row>
    <row r="28" customFormat="false" ht="15" hidden="false" customHeight="false" outlineLevel="0" collapsed="false">
      <c r="A28" s="2" t="s">
        <v>890</v>
      </c>
      <c r="B28" s="2" t="s">
        <v>698</v>
      </c>
      <c r="C28" s="2" t="s">
        <v>893</v>
      </c>
      <c r="D28" s="2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2026-10-03T19:38:04Z</dcterms:created>
  <dc:creator>openpyxl</dc:creator>
  <dc:description/>
  <dc:language>en-US</dc:language>
  <cp:lastModifiedBy/>
  <dcterms:modified xsi:type="dcterms:W3CDTF">2026-10-03T19:38:05Z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